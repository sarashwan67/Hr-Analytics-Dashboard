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Ex2.xml" ContentType="application/vnd.ms-office.chartex+xml"/>
  <Override PartName="/xl/charts/style5.xml" ContentType="application/vnd.ms-office.chartstyle+xml"/>
  <Override PartName="/xl/charts/colors5.xml" ContentType="application/vnd.ms-office.chartcolorstyle+xml"/>
  <Override PartName="/xl/drawings/drawing4.xml" ContentType="application/vnd.openxmlformats-officedocument.drawing+xml"/>
  <Override PartName="/xl/slicers/slicer3.xml" ContentType="application/vnd.ms-excel.slicer+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xml"/>
  <Override PartName="/xl/slicers/slicer4.xml" ContentType="application/vnd.ms-excel.slicer+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D:\excel\"/>
    </mc:Choice>
  </mc:AlternateContent>
  <xr:revisionPtr revIDLastSave="0" documentId="13_ncr:1_{0176440E-F8F1-43C6-A09C-3AE720662080}" xr6:coauthVersionLast="47" xr6:coauthVersionMax="47" xr10:uidLastSave="{00000000-0000-0000-0000-000000000000}"/>
  <bookViews>
    <workbookView xWindow="-108" yWindow="-108" windowWidth="23256" windowHeight="12456" firstSheet="3" activeTab="3" xr2:uid="{1F479C9D-F6F1-4B07-B563-C2DAB6FBFA81}"/>
  </bookViews>
  <sheets>
    <sheet name="Meta-Data" sheetId="1" state="hidden" r:id="rId1"/>
    <sheet name="Wirefrming" sheetId="2" state="hidden" r:id="rId2"/>
    <sheet name="Pivot Table" sheetId="6" state="hidden" r:id="rId3"/>
    <sheet name="Overview" sheetId="12" r:id="rId4"/>
    <sheet name="Department" sheetId="10" r:id="rId5"/>
    <sheet name="Employee" sheetId="11" r:id="rId6"/>
  </sheets>
  <externalReferences>
    <externalReference r:id="rId7"/>
  </externalReferences>
  <definedNames>
    <definedName name="_xlchart.v1.0" hidden="1">'[1]Pivot Table'!$Q$16:$Q$25</definedName>
    <definedName name="_xlchart.v1.1" hidden="1">'[1]Pivot Table'!$R$16:$R$25</definedName>
    <definedName name="_xlcn.WorksheetConnection_Book1.xlsxTable11" hidden="1">Table1[]</definedName>
    <definedName name="Slicer_Department">#N/A</definedName>
    <definedName name="Slicer_SalarySlab">#N/A</definedName>
  </definedNames>
  <calcPr calcId="191029"/>
  <pivotCaches>
    <pivotCache cacheId="1010" r:id="rId8"/>
    <pivotCache cacheId="1012" r:id="rId9"/>
    <pivotCache cacheId="1014" r:id="rId10"/>
    <pivotCache cacheId="1016" r:id="rId11"/>
    <pivotCache cacheId="1018" r:id="rId12"/>
    <pivotCache cacheId="1020" r:id="rId13"/>
    <pivotCache cacheId="1025" r:id="rId14"/>
    <pivotCache cacheId="1027" r:id="rId15"/>
    <pivotCache cacheId="1029" r:id="rId16"/>
    <pivotCache cacheId="1031" r:id="rId17"/>
    <pivotCache cacheId="1033" r:id="rId18"/>
    <pivotCache cacheId="1035" r:id="rId19"/>
    <pivotCache cacheId="1037" r:id="rId20"/>
    <pivotCache cacheId="1039" r:id="rId21"/>
    <pivotCache cacheId="1041" r:id="rId22"/>
    <pivotCache cacheId="1043" r:id="rId23"/>
    <pivotCache cacheId="1008" r:id="rId24"/>
    <pivotCache cacheId="1023" r:id="rId25"/>
    <pivotCache cacheId="1046" r:id="rId26"/>
    <pivotCache cacheId="1049" r:id="rId27"/>
    <pivotCache cacheId="1052" r:id="rId28"/>
    <pivotCache cacheId="1055" r:id="rId29"/>
    <pivotCache cacheId="1058" r:id="rId30"/>
  </pivotCaches>
  <extLst>
    <ext xmlns:x14="http://schemas.microsoft.com/office/spreadsheetml/2009/9/main" uri="{876F7934-8845-4945-9796-88D515C7AA90}">
      <x14:pivotCaches>
        <pivotCache cacheId="23" r:id="rId31"/>
      </x14:pivotCaches>
    </ext>
    <ext xmlns:x14="http://schemas.microsoft.com/office/spreadsheetml/2009/9/main" uri="{BBE1A952-AA13-448e-AADC-164F8A28A991}">
      <x14:slicerCaches>
        <x14:slicerCache r:id="rId32"/>
        <x14:slicerCache r:id="rId3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R_Analytics_432cfebd-eacd-4803-a392-917546e7d965" name="HR_Analytics" connection="Query - HR_Analytics"/>
          <x15:modelTable id="Table1" name="Table1" connection="WorksheetConnection_Book1.xlsx!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R24" i="6" l="1"/>
  <c r="A3" i="6"/>
  <c r="G4" i="6"/>
  <c r="C4" i="6"/>
  <c r="R25" i="6"/>
  <c r="AC4" i="6"/>
  <c r="AA4" i="6"/>
  <c r="Y4" i="6"/>
  <c r="R21" i="6"/>
  <c r="W4" i="6"/>
  <c r="R17" i="6"/>
  <c r="I4" i="6"/>
  <c r="E4" i="6"/>
  <c r="R16" i="6"/>
  <c r="R23" i="6"/>
  <c r="R22" i="6"/>
  <c r="R20" i="6"/>
  <c r="R18" i="6"/>
  <c r="R19"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7515F10-DB1D-4970-B0A1-03408E58B8CF}" name="Query - HR_Analytics" description="Connection to the 'HR_Analytics' query in the workbook." type="100" refreshedVersion="8" minRefreshableVersion="5">
    <extLst>
      <ext xmlns:x15="http://schemas.microsoft.com/office/spreadsheetml/2010/11/main" uri="{DE250136-89BD-433C-8126-D09CA5730AF9}">
        <x15:connection id="1a7a5150-c349-4b50-9d37-5732f2bf96e0"/>
      </ext>
    </extLst>
  </connection>
  <connection id="2" xr16:uid="{C6867294-3DE9-481E-8A21-ECFFD745D0D9}"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1770D2A5-A54A-47DC-8423-C921E855F0ED}" name="WorksheetConnection_Book1.xlsx!Table1" type="102" refreshedVersion="8" minRefreshableVersion="5">
    <extLst>
      <ext xmlns:x15="http://schemas.microsoft.com/office/spreadsheetml/2010/11/main" uri="{DE250136-89BD-433C-8126-D09CA5730AF9}">
        <x15:connection id="Table1">
          <x15:rangePr sourceName="_xlcn.WorksheetConnection_Book1.xlsxTable11"/>
        </x15:connection>
      </ext>
    </extLst>
  </connection>
</connections>
</file>

<file path=xl/sharedStrings.xml><?xml version="1.0" encoding="utf-8"?>
<sst xmlns="http://schemas.openxmlformats.org/spreadsheetml/2006/main" count="187" uniqueCount="111">
  <si>
    <t>Column</t>
  </si>
  <si>
    <t>المعنى بالعربي</t>
  </si>
  <si>
    <t>EmpID</t>
  </si>
  <si>
    <t>رقم الموظف</t>
  </si>
  <si>
    <t>Age</t>
  </si>
  <si>
    <t>عمر الموظف</t>
  </si>
  <si>
    <t>AgeGroup</t>
  </si>
  <si>
    <t>الفئة العمرية للموظف</t>
  </si>
  <si>
    <t>Attrition</t>
  </si>
  <si>
    <t>هل الموظف ترك الشركة أم لا</t>
  </si>
  <si>
    <t>BusinessTravel</t>
  </si>
  <si>
    <t>معدل/نوع سفر الموظف بسبب العمل</t>
  </si>
  <si>
    <t>DailyRate</t>
  </si>
  <si>
    <t>الأجر أو المعدل اليومي</t>
  </si>
  <si>
    <t>Department</t>
  </si>
  <si>
    <t>القسم الذي يعمل فيه الموظف</t>
  </si>
  <si>
    <t>DistanceFromHome</t>
  </si>
  <si>
    <t>المسافة بين البيت والعمل</t>
  </si>
  <si>
    <t>Education</t>
  </si>
  <si>
    <t>مستوى التعليم</t>
  </si>
  <si>
    <t>EducationField</t>
  </si>
  <si>
    <t>مجال/تخصص التعليم</t>
  </si>
  <si>
    <t>EmployeeCount</t>
  </si>
  <si>
    <t>عدد الموظفين</t>
  </si>
  <si>
    <t>EmployeeNumber</t>
  </si>
  <si>
    <t>الرقم التعريفي للموظف</t>
  </si>
  <si>
    <t>EnvironmentSatisfaction</t>
  </si>
  <si>
    <t>مدى رضا الموظف عن بيئة العمل</t>
  </si>
  <si>
    <t>Gender</t>
  </si>
  <si>
    <t>النوع</t>
  </si>
  <si>
    <t>HourlyRate</t>
  </si>
  <si>
    <t>الأجر بالساعة</t>
  </si>
  <si>
    <t>JobInvolvement</t>
  </si>
  <si>
    <t>مدى مشاركة واهتمام الموظف بعمله</t>
  </si>
  <si>
    <t>JobLevel</t>
  </si>
  <si>
    <t>المستوى الوظيفي</t>
  </si>
  <si>
    <t>JobRole</t>
  </si>
  <si>
    <t>الوظيفة/الدور الوظيفي</t>
  </si>
  <si>
    <t>JobSatisfaction</t>
  </si>
  <si>
    <t>مدى رضا الموظف عن وظيفته</t>
  </si>
  <si>
    <t>MaritalStatus</t>
  </si>
  <si>
    <t>الحالة الاجتماعية</t>
  </si>
  <si>
    <t>MonthlyIncome</t>
  </si>
  <si>
    <t>الدخل/الراتب الشهري</t>
  </si>
  <si>
    <t>SalarySlab</t>
  </si>
  <si>
    <t>فئة أو شريحة الراتب</t>
  </si>
  <si>
    <t>MonthlyRate</t>
  </si>
  <si>
    <t>المعدل الشهري</t>
  </si>
  <si>
    <t>NumCompaniesWorked</t>
  </si>
  <si>
    <t>عدد الشركات التي عمل فيها الموظف سابقًا</t>
  </si>
  <si>
    <t>Over18</t>
  </si>
  <si>
    <t>هل عمر الموظف أكبر من 18 سنة</t>
  </si>
  <si>
    <t>OverTime</t>
  </si>
  <si>
    <t>هل الموظف يعمل ساعات إضافية</t>
  </si>
  <si>
    <t>PercentSalaryHike</t>
  </si>
  <si>
    <t>نسبة زيادة الراتب</t>
  </si>
  <si>
    <t>PerformanceRating</t>
  </si>
  <si>
    <t>تقييم أداء الموظف</t>
  </si>
  <si>
    <t>RelationshipSatisfaction</t>
  </si>
  <si>
    <t>مدى رضا الموظف عن علاقاته في العمل</t>
  </si>
  <si>
    <t>StandardHours</t>
  </si>
  <si>
    <t>عدد ساعات العمل القياسية</t>
  </si>
  <si>
    <t>StockOptionLevel</t>
  </si>
  <si>
    <t>مستوى امتلاك/استفادة الموظف من أسهم الشركة</t>
  </si>
  <si>
    <t>TotalWorkingYears</t>
  </si>
  <si>
    <t>إجمالي سنوات خبرة الموظف</t>
  </si>
  <si>
    <t>TrainingTimesLastYear</t>
  </si>
  <si>
    <t>عدد مرات التدريب خلال السنة الماضية</t>
  </si>
  <si>
    <t>WorkLifeBalance</t>
  </si>
  <si>
    <t>مدى التوازن بين العمل والحياة الشخصية</t>
  </si>
  <si>
    <t>YearsAtCompany</t>
  </si>
  <si>
    <t>عدد السنوات التي قضاها الموظف في الشركة</t>
  </si>
  <si>
    <t>YearsInCurrentRole</t>
  </si>
  <si>
    <t>عدد السنوات في الوظيفة الحالية</t>
  </si>
  <si>
    <t>YearsSinceLastPromotion</t>
  </si>
  <si>
    <t>عدد السنوات منذ آخر ترقية</t>
  </si>
  <si>
    <t>YearsWithCurrManager</t>
  </si>
  <si>
    <t>عدد السنوات التي عمل فيها مع المدير الحالي</t>
  </si>
  <si>
    <t>Page 1</t>
  </si>
  <si>
    <t>Total Employess</t>
  </si>
  <si>
    <t>Attrition Rate</t>
  </si>
  <si>
    <t>Laboratory Technician</t>
  </si>
  <si>
    <t>Human Resources</t>
  </si>
  <si>
    <t>Sales Representative</t>
  </si>
  <si>
    <t>Research Scientist</t>
  </si>
  <si>
    <t>Healthcare Representative</t>
  </si>
  <si>
    <t>Sales Executive</t>
  </si>
  <si>
    <t>Manufacturing Director</t>
  </si>
  <si>
    <t>Manager</t>
  </si>
  <si>
    <t>Research Director</t>
  </si>
  <si>
    <t>Overtime Rate</t>
  </si>
  <si>
    <t>Stasfaction Score</t>
  </si>
  <si>
    <t>Monthly Income</t>
  </si>
  <si>
    <t>Row Labels</t>
  </si>
  <si>
    <t>Grand Total</t>
  </si>
  <si>
    <t>Research &amp; Development</t>
  </si>
  <si>
    <t>Sales</t>
  </si>
  <si>
    <t>Female</t>
  </si>
  <si>
    <t>Upto 5k</t>
  </si>
  <si>
    <t>Male</t>
  </si>
  <si>
    <t>5k-10k</t>
  </si>
  <si>
    <t>10k-15k</t>
  </si>
  <si>
    <t>15k+</t>
  </si>
  <si>
    <t>Avg Age</t>
  </si>
  <si>
    <t>Avg Tenure</t>
  </si>
  <si>
    <t>Avg Env Sat</t>
  </si>
  <si>
    <t>Avg WLB</t>
  </si>
  <si>
    <t>Count of Attrition</t>
  </si>
  <si>
    <t>Count of OverTime</t>
  </si>
  <si>
    <t>Column Labels</t>
  </si>
  <si>
    <t>Sum of MonthlyIncome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</si>
</sst>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_(* #,##0_);_(* \(#,##0\);_(* &quot;-&quot;??_);_(@_)"/>
  </numFmts>
  <fonts count="3" x14ac:knownFonts="1">
    <font>
      <sz val="11"/>
      <color theme="1"/>
      <name val="Century Gothic"/>
      <family val="2"/>
      <scheme val="minor"/>
    </font>
    <font>
      <b/>
      <sz val="11"/>
      <color theme="1"/>
      <name val="Century Gothic"/>
      <family val="2"/>
      <scheme val="minor"/>
    </font>
    <font>
      <sz val="11"/>
      <color theme="1"/>
      <name val="Century Gothic"/>
      <family val="2"/>
      <scheme val="minor"/>
    </font>
  </fonts>
  <fills count="7">
    <fill>
      <patternFill patternType="none"/>
    </fill>
    <fill>
      <patternFill patternType="gray125"/>
    </fill>
    <fill>
      <patternFill patternType="solid">
        <fgColor rgb="FFC1D3E6"/>
        <bgColor indexed="64"/>
      </patternFill>
    </fill>
    <fill>
      <patternFill patternType="solid">
        <fgColor theme="3"/>
        <bgColor indexed="64"/>
      </patternFill>
    </fill>
    <fill>
      <patternFill patternType="solid">
        <fgColor rgb="FF1E66A2"/>
        <bgColor indexed="64"/>
      </patternFill>
    </fill>
    <fill>
      <patternFill patternType="solid">
        <fgColor theme="4" tint="0.79998168889431442"/>
        <bgColor theme="4" tint="0.79998168889431442"/>
      </patternFill>
    </fill>
    <fill>
      <patternFill patternType="solid">
        <fgColor theme="4" tint="-0.499984740745262"/>
        <bgColor indexed="64"/>
      </patternFill>
    </fill>
  </fills>
  <borders count="2">
    <border>
      <left/>
      <right/>
      <top/>
      <bottom/>
      <diagonal/>
    </border>
    <border>
      <left/>
      <right/>
      <top style="thin">
        <color theme="4" tint="0.39997558519241921"/>
      </top>
      <bottom/>
      <diagonal/>
    </border>
  </borders>
  <cellStyleXfs count="2">
    <xf numFmtId="0" fontId="0" fillId="0" borderId="0"/>
    <xf numFmtId="9" fontId="2" fillId="0" borderId="0" applyFont="0" applyFill="0" applyBorder="0" applyAlignment="0" applyProtection="0"/>
  </cellStyleXfs>
  <cellXfs count="21">
    <xf numFmtId="0" fontId="0" fillId="0" borderId="0" xfId="0"/>
    <xf numFmtId="0" fontId="1" fillId="0" borderId="0" xfId="0" applyFont="1" applyAlignment="1">
      <alignment horizontal="center" vertical="center" wrapText="1"/>
    </xf>
    <xf numFmtId="0" fontId="0" fillId="0" borderId="0" xfId="0" applyAlignment="1">
      <alignment vertical="center" wrapText="1"/>
    </xf>
    <xf numFmtId="0" fontId="1" fillId="0" borderId="0" xfId="0" applyFont="1" applyAlignment="1">
      <alignment vertical="center" wrapText="1"/>
    </xf>
    <xf numFmtId="0" fontId="0" fillId="2" borderId="0" xfId="0" applyFill="1"/>
    <xf numFmtId="1" fontId="0" fillId="0" borderId="0" xfId="0" applyNumberFormat="1"/>
    <xf numFmtId="0" fontId="0" fillId="3" borderId="0" xfId="0" applyFill="1"/>
    <xf numFmtId="2" fontId="0" fillId="0" borderId="0" xfId="0" applyNumberFormat="1"/>
    <xf numFmtId="0" fontId="0" fillId="0" borderId="0" xfId="0" pivotButton="1"/>
    <xf numFmtId="9" fontId="0" fillId="0" borderId="0" xfId="0" applyNumberFormat="1"/>
    <xf numFmtId="2" fontId="0" fillId="0" borderId="0" xfId="0" pivotButton="1" applyNumberFormat="1"/>
    <xf numFmtId="0" fontId="0" fillId="0" borderId="0" xfId="0" applyAlignment="1">
      <alignment horizontal="left"/>
    </xf>
    <xf numFmtId="0" fontId="0" fillId="4" borderId="0" xfId="0" applyFill="1"/>
    <xf numFmtId="2" fontId="0" fillId="0" borderId="0" xfId="0" applyNumberFormat="1" applyAlignment="1">
      <alignment horizontal="left"/>
    </xf>
    <xf numFmtId="9" fontId="0" fillId="0" borderId="0" xfId="1" applyFont="1"/>
    <xf numFmtId="0" fontId="1" fillId="5" borderId="1" xfId="0" applyFont="1" applyFill="1" applyBorder="1" applyAlignment="1">
      <alignment horizontal="left"/>
    </xf>
    <xf numFmtId="9" fontId="1" fillId="5" borderId="1" xfId="0" applyNumberFormat="1" applyFont="1" applyFill="1" applyBorder="1"/>
    <xf numFmtId="0" fontId="0" fillId="6" borderId="0" xfId="0" applyFill="1"/>
    <xf numFmtId="164" fontId="0" fillId="0" borderId="0" xfId="0" applyNumberFormat="1"/>
    <xf numFmtId="9" fontId="0" fillId="0" borderId="0" xfId="0" applyNumberFormat="1" applyFill="1"/>
    <xf numFmtId="0" fontId="0" fillId="0" borderId="0" xfId="0" applyFill="1"/>
  </cellXfs>
  <cellStyles count="2">
    <cellStyle name="Normal" xfId="0" builtinId="0"/>
    <cellStyle name="Percent" xfId="1" builtinId="5"/>
  </cellStyles>
  <dxfs count="397">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64" formatCode="_(* #,##0_);_(* \(#,##0\);_(* &quot;-&quot;??_);_(@_)"/>
    </dxf>
    <dxf>
      <numFmt numFmtId="13" formatCode="0%"/>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2" formatCode="0.00"/>
    </dxf>
    <dxf>
      <numFmt numFmtId="1" formatCode="0"/>
    </dxf>
    <dxf>
      <numFmt numFmtId="2" formatCode="0.00"/>
    </dxf>
    <dxf>
      <numFmt numFmtId="2" formatCode="0.00"/>
    </dxf>
    <dxf>
      <numFmt numFmtId="2" formatCode="0.00"/>
    </dxf>
    <dxf>
      <numFmt numFmtId="2" formatCode="0.00"/>
    </dxf>
    <dxf>
      <numFmt numFmtId="2" formatCode="0.00"/>
    </dxf>
    <dxf>
      <numFmt numFmtId="13" formatCode="0%"/>
    </dxf>
    <dxf>
      <fill>
        <patternFill patternType="none">
          <bgColor auto="1"/>
        </patternFill>
      </fill>
    </dxf>
    <dxf>
      <fill>
        <patternFill patternType="none">
          <bgColor auto="1"/>
        </patternFill>
      </fill>
    </dxf>
    <dxf>
      <numFmt numFmtId="13" formatCode="0%"/>
    </dxf>
    <dxf>
      <numFmt numFmtId="2" formatCode="0.00"/>
    </dxf>
    <dxf>
      <numFmt numFmtId="2" formatCode="0.00"/>
    </dxf>
    <dxf>
      <numFmt numFmtId="1" formatCode="0"/>
    </dxf>
    <dxf>
      <numFmt numFmtId="13" formatCode="0%"/>
    </dxf>
    <dxf>
      <fill>
        <patternFill patternType="none">
          <bgColor auto="1"/>
        </patternFill>
      </fill>
    </dxf>
    <dxf>
      <fill>
        <patternFill patternType="none">
          <bgColor auto="1"/>
        </patternFill>
      </fill>
    </dxf>
    <dxf>
      <numFmt numFmtId="13" formatCode="0%"/>
    </dxf>
    <dxf>
      <numFmt numFmtId="2" formatCode="0.00"/>
    </dxf>
    <dxf>
      <numFmt numFmtId="2" formatCode="0.00"/>
    </dxf>
    <dxf>
      <numFmt numFmtId="1" formatCode="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64" formatCode="_(* #,##0_);_(* \(#,##0\);_(* &quot;-&quot;??_);_(@_)"/>
    </dxf>
    <dxf>
      <numFmt numFmtId="13" formatCode="0%"/>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2" formatCode="0.00"/>
    </dxf>
    <dxf>
      <numFmt numFmtId="1" formatCode="0"/>
    </dxf>
    <dxf>
      <numFmt numFmtId="2" formatCode="0.00"/>
    </dxf>
    <dxf>
      <numFmt numFmtId="2" formatCode="0.00"/>
    </dxf>
    <dxf>
      <numFmt numFmtId="2" formatCode="0.00"/>
    </dxf>
    <dxf>
      <numFmt numFmtId="2" formatCode="0.00"/>
    </dxf>
    <dxf>
      <numFmt numFmtId="2" formatCode="0.00"/>
    </dxf>
    <dxf>
      <numFmt numFmtId="13" formatCode="0%"/>
    </dxf>
    <dxf>
      <fill>
        <patternFill patternType="none">
          <bgColor auto="1"/>
        </patternFill>
      </fill>
    </dxf>
    <dxf>
      <fill>
        <patternFill patternType="none">
          <bgColor auto="1"/>
        </patternFill>
      </fill>
    </dxf>
    <dxf>
      <numFmt numFmtId="13" formatCode="0%"/>
    </dxf>
    <dxf>
      <numFmt numFmtId="2" formatCode="0.00"/>
    </dxf>
    <dxf>
      <numFmt numFmtId="2" formatCode="0.00"/>
    </dxf>
    <dxf>
      <numFmt numFmtId="1" formatCode="0"/>
    </dxf>
    <dxf>
      <numFmt numFmtId="13" formatCode="0%"/>
    </dxf>
    <dxf>
      <fill>
        <patternFill patternType="none">
          <bgColor auto="1"/>
        </patternFill>
      </fill>
    </dxf>
    <dxf>
      <fill>
        <patternFill patternType="none">
          <bgColor auto="1"/>
        </patternFill>
      </fill>
    </dxf>
    <dxf>
      <numFmt numFmtId="13" formatCode="0%"/>
    </dxf>
    <dxf>
      <numFmt numFmtId="2" formatCode="0.00"/>
    </dxf>
    <dxf>
      <numFmt numFmtId="2" formatCode="0.00"/>
    </dxf>
    <dxf>
      <numFmt numFmtId="1" formatCode="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64" formatCode="_(* #,##0_);_(* \(#,##0\);_(* &quot;-&quot;??_);_(@_)"/>
    </dxf>
    <dxf>
      <numFmt numFmtId="13" formatCode="0%"/>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2" formatCode="0.00"/>
    </dxf>
    <dxf>
      <numFmt numFmtId="1" formatCode="0"/>
    </dxf>
    <dxf>
      <numFmt numFmtId="2" formatCode="0.00"/>
    </dxf>
    <dxf>
      <numFmt numFmtId="2" formatCode="0.00"/>
    </dxf>
    <dxf>
      <numFmt numFmtId="2" formatCode="0.00"/>
    </dxf>
    <dxf>
      <numFmt numFmtId="2" formatCode="0.00"/>
    </dxf>
    <dxf>
      <numFmt numFmtId="2" formatCode="0.00"/>
    </dxf>
    <dxf>
      <numFmt numFmtId="13" formatCode="0%"/>
    </dxf>
    <dxf>
      <fill>
        <patternFill patternType="none">
          <bgColor auto="1"/>
        </patternFill>
      </fill>
    </dxf>
    <dxf>
      <fill>
        <patternFill patternType="none">
          <bgColor auto="1"/>
        </patternFill>
      </fill>
    </dxf>
    <dxf>
      <numFmt numFmtId="13" formatCode="0%"/>
    </dxf>
    <dxf>
      <numFmt numFmtId="2" formatCode="0.00"/>
    </dxf>
    <dxf>
      <numFmt numFmtId="2" formatCode="0.00"/>
    </dxf>
    <dxf>
      <numFmt numFmtId="1" formatCode="0"/>
    </dxf>
    <dxf>
      <numFmt numFmtId="13" formatCode="0%"/>
    </dxf>
    <dxf>
      <fill>
        <patternFill patternType="none">
          <bgColor auto="1"/>
        </patternFill>
      </fill>
    </dxf>
    <dxf>
      <fill>
        <patternFill patternType="none">
          <bgColor auto="1"/>
        </patternFill>
      </fill>
    </dxf>
    <dxf>
      <numFmt numFmtId="13" formatCode="0%"/>
    </dxf>
    <dxf>
      <numFmt numFmtId="2" formatCode="0.00"/>
    </dxf>
    <dxf>
      <numFmt numFmtId="2" formatCode="0.00"/>
    </dxf>
    <dxf>
      <numFmt numFmtId="1" formatCode="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64" formatCode="_(* #,##0_);_(* \(#,##0\);_(* &quot;-&quot;??_);_(@_)"/>
    </dxf>
    <dxf>
      <numFmt numFmtId="13" formatCode="0%"/>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2" formatCode="0.00"/>
    </dxf>
    <dxf>
      <numFmt numFmtId="1" formatCode="0"/>
    </dxf>
    <dxf>
      <numFmt numFmtId="2" formatCode="0.00"/>
    </dxf>
    <dxf>
      <numFmt numFmtId="2" formatCode="0.00"/>
    </dxf>
    <dxf>
      <numFmt numFmtId="2" formatCode="0.00"/>
    </dxf>
    <dxf>
      <numFmt numFmtId="2" formatCode="0.00"/>
    </dxf>
    <dxf>
      <numFmt numFmtId="2" formatCode="0.00"/>
    </dxf>
    <dxf>
      <numFmt numFmtId="13" formatCode="0%"/>
    </dxf>
    <dxf>
      <fill>
        <patternFill patternType="none">
          <bgColor auto="1"/>
        </patternFill>
      </fill>
    </dxf>
    <dxf>
      <fill>
        <patternFill patternType="none">
          <bgColor auto="1"/>
        </patternFill>
      </fill>
    </dxf>
    <dxf>
      <numFmt numFmtId="13" formatCode="0%"/>
    </dxf>
    <dxf>
      <numFmt numFmtId="2" formatCode="0.00"/>
    </dxf>
    <dxf>
      <numFmt numFmtId="2" formatCode="0.00"/>
    </dxf>
    <dxf>
      <numFmt numFmtId="1" formatCode="0"/>
    </dxf>
    <dxf>
      <numFmt numFmtId="13" formatCode="0%"/>
    </dxf>
    <dxf>
      <fill>
        <patternFill patternType="none">
          <bgColor auto="1"/>
        </patternFill>
      </fill>
    </dxf>
    <dxf>
      <fill>
        <patternFill patternType="none">
          <bgColor auto="1"/>
        </patternFill>
      </fill>
    </dxf>
    <dxf>
      <numFmt numFmtId="13" formatCode="0%"/>
    </dxf>
    <dxf>
      <numFmt numFmtId="2" formatCode="0.00"/>
    </dxf>
    <dxf>
      <numFmt numFmtId="2" formatCode="0.00"/>
    </dxf>
    <dxf>
      <numFmt numFmtId="1" formatCode="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64" formatCode="_(* #,##0_);_(* \(#,##0\);_(* &quot;-&quot;??_);_(@_)"/>
    </dxf>
    <dxf>
      <numFmt numFmtId="13" formatCode="0%"/>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2" formatCode="0.00"/>
    </dxf>
    <dxf>
      <numFmt numFmtId="1" formatCode="0"/>
    </dxf>
    <dxf>
      <numFmt numFmtId="2" formatCode="0.00"/>
    </dxf>
    <dxf>
      <numFmt numFmtId="2" formatCode="0.00"/>
    </dxf>
    <dxf>
      <numFmt numFmtId="2" formatCode="0.00"/>
    </dxf>
    <dxf>
      <numFmt numFmtId="2" formatCode="0.00"/>
    </dxf>
    <dxf>
      <numFmt numFmtId="2" formatCode="0.00"/>
    </dxf>
    <dxf>
      <numFmt numFmtId="13" formatCode="0%"/>
    </dxf>
    <dxf>
      <fill>
        <patternFill patternType="none">
          <bgColor auto="1"/>
        </patternFill>
      </fill>
    </dxf>
    <dxf>
      <fill>
        <patternFill patternType="none">
          <bgColor auto="1"/>
        </patternFill>
      </fill>
    </dxf>
    <dxf>
      <numFmt numFmtId="13" formatCode="0%"/>
    </dxf>
    <dxf>
      <numFmt numFmtId="2" formatCode="0.00"/>
    </dxf>
    <dxf>
      <numFmt numFmtId="2" formatCode="0.00"/>
    </dxf>
    <dxf>
      <numFmt numFmtId="1" formatCode="0"/>
    </dxf>
    <dxf>
      <numFmt numFmtId="13" formatCode="0%"/>
    </dxf>
    <dxf>
      <fill>
        <patternFill patternType="none">
          <bgColor auto="1"/>
        </patternFill>
      </fill>
    </dxf>
    <dxf>
      <fill>
        <patternFill patternType="none">
          <bgColor auto="1"/>
        </patternFill>
      </fill>
    </dxf>
    <dxf>
      <numFmt numFmtId="13" formatCode="0%"/>
    </dxf>
    <dxf>
      <numFmt numFmtId="2" formatCode="0.00"/>
    </dxf>
    <dxf>
      <numFmt numFmtId="2" formatCode="0.00"/>
    </dxf>
    <dxf>
      <numFmt numFmtId="1" formatCode="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64" formatCode="_(* #,##0_);_(* \(#,##0\);_(* &quot;-&quot;??_);_(@_)"/>
    </dxf>
    <dxf>
      <numFmt numFmtId="13" formatCode="0%"/>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2" formatCode="0.00"/>
    </dxf>
    <dxf>
      <numFmt numFmtId="1" formatCode="0"/>
    </dxf>
    <dxf>
      <numFmt numFmtId="2" formatCode="0.00"/>
    </dxf>
    <dxf>
      <numFmt numFmtId="2" formatCode="0.00"/>
    </dxf>
    <dxf>
      <numFmt numFmtId="2" formatCode="0.00"/>
    </dxf>
    <dxf>
      <numFmt numFmtId="2" formatCode="0.00"/>
    </dxf>
    <dxf>
      <numFmt numFmtId="2" formatCode="0.00"/>
    </dxf>
    <dxf>
      <numFmt numFmtId="13" formatCode="0%"/>
    </dxf>
    <dxf>
      <fill>
        <patternFill patternType="none">
          <bgColor auto="1"/>
        </patternFill>
      </fill>
    </dxf>
    <dxf>
      <fill>
        <patternFill patternType="none">
          <bgColor auto="1"/>
        </patternFill>
      </fill>
    </dxf>
    <dxf>
      <numFmt numFmtId="13" formatCode="0%"/>
    </dxf>
    <dxf>
      <numFmt numFmtId="2" formatCode="0.00"/>
    </dxf>
    <dxf>
      <numFmt numFmtId="2" formatCode="0.00"/>
    </dxf>
    <dxf>
      <numFmt numFmtId="1" formatCode="0"/>
    </dxf>
    <dxf>
      <numFmt numFmtId="13" formatCode="0%"/>
    </dxf>
    <dxf>
      <fill>
        <patternFill patternType="none">
          <bgColor auto="1"/>
        </patternFill>
      </fill>
    </dxf>
    <dxf>
      <fill>
        <patternFill patternType="none">
          <bgColor auto="1"/>
        </patternFill>
      </fill>
    </dxf>
    <dxf>
      <numFmt numFmtId="13" formatCode="0%"/>
    </dxf>
    <dxf>
      <numFmt numFmtId="2" formatCode="0.00"/>
    </dxf>
    <dxf>
      <numFmt numFmtId="2" formatCode="0.00"/>
    </dxf>
    <dxf>
      <numFmt numFmtId="1" formatCode="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64" formatCode="_(* #,##0_);_(* \(#,##0\);_(* &quot;-&quot;??_);_(@_)"/>
    </dxf>
    <dxf>
      <numFmt numFmtId="13" formatCode="0%"/>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2" formatCode="0.00"/>
    </dxf>
    <dxf>
      <numFmt numFmtId="1" formatCode="0"/>
    </dxf>
    <dxf>
      <numFmt numFmtId="2" formatCode="0.00"/>
    </dxf>
    <dxf>
      <numFmt numFmtId="2" formatCode="0.00"/>
    </dxf>
    <dxf>
      <numFmt numFmtId="2" formatCode="0.00"/>
    </dxf>
    <dxf>
      <numFmt numFmtId="2" formatCode="0.00"/>
    </dxf>
    <dxf>
      <numFmt numFmtId="2" formatCode="0.00"/>
    </dxf>
    <dxf>
      <numFmt numFmtId="13" formatCode="0%"/>
    </dxf>
    <dxf>
      <fill>
        <patternFill patternType="none">
          <bgColor auto="1"/>
        </patternFill>
      </fill>
    </dxf>
    <dxf>
      <fill>
        <patternFill patternType="none">
          <bgColor auto="1"/>
        </patternFill>
      </fill>
    </dxf>
    <dxf>
      <numFmt numFmtId="13" formatCode="0%"/>
    </dxf>
    <dxf>
      <numFmt numFmtId="2" formatCode="0.00"/>
    </dxf>
    <dxf>
      <numFmt numFmtId="2" formatCode="0.00"/>
    </dxf>
    <dxf>
      <numFmt numFmtId="1" formatCode="0"/>
    </dxf>
    <dxf>
      <numFmt numFmtId="13" formatCode="0%"/>
    </dxf>
    <dxf>
      <fill>
        <patternFill patternType="none">
          <bgColor auto="1"/>
        </patternFill>
      </fill>
    </dxf>
    <dxf>
      <fill>
        <patternFill patternType="none">
          <bgColor auto="1"/>
        </patternFill>
      </fill>
    </dxf>
    <dxf>
      <numFmt numFmtId="13" formatCode="0%"/>
    </dxf>
    <dxf>
      <numFmt numFmtId="2" formatCode="0.00"/>
    </dxf>
    <dxf>
      <numFmt numFmtId="2" formatCode="0.00"/>
    </dxf>
    <dxf>
      <numFmt numFmtId="1" formatCode="0"/>
    </dxf>
    <dxf>
      <numFmt numFmtId="1" formatCode="0"/>
    </dxf>
    <dxf>
      <numFmt numFmtId="2" formatCode="0.00"/>
    </dxf>
    <dxf>
      <numFmt numFmtId="2" formatCode="0.00"/>
    </dxf>
    <dxf>
      <numFmt numFmtId="2" formatCode="0.00"/>
    </dxf>
    <dxf>
      <numFmt numFmtId="2" formatCode="0.00"/>
    </dxf>
    <dxf>
      <numFmt numFmtId="2" formatCode="0.00"/>
    </dxf>
    <dxf>
      <numFmt numFmtId="164" formatCode="_(* #,##0_);_(* \(#,##0\);_(* &quot;-&quot;??_);_(@_)"/>
    </dxf>
    <dxf>
      <numFmt numFmtId="13" formatCode="0%"/>
    </dxf>
    <dxf>
      <fill>
        <patternFill patternType="none">
          <bgColor auto="1"/>
        </patternFill>
      </fill>
    </dxf>
    <dxf>
      <fill>
        <patternFill patternType="none">
          <bgColor auto="1"/>
        </patternFill>
      </fill>
    </dxf>
    <dxf>
      <numFmt numFmtId="13" formatCode="0%"/>
    </dxf>
    <dxf>
      <fill>
        <patternFill patternType="none">
          <bgColor auto="1"/>
        </patternFill>
      </fill>
    </dxf>
    <dxf>
      <fill>
        <patternFill patternType="none">
          <bgColor auto="1"/>
        </patternFill>
      </fill>
    </dxf>
    <dxf>
      <numFmt numFmtId="13" formatCode="0%"/>
    </dxf>
    <dxf>
      <numFmt numFmtId="13" formatCode="0%"/>
    </dxf>
    <dxf>
      <numFmt numFmtId="2" formatCode="0.00"/>
    </dxf>
    <dxf>
      <numFmt numFmtId="2" formatCode="0.00"/>
    </dxf>
    <dxf>
      <numFmt numFmtId="2" formatCode="0.00"/>
    </dxf>
    <dxf>
      <numFmt numFmtId="2" formatCode="0.00"/>
    </dxf>
    <dxf>
      <numFmt numFmtId="2" formatCode="0.00"/>
    </dxf>
    <dxf>
      <numFmt numFmtId="2" formatCode="0.00"/>
    </dxf>
    <dxf>
      <numFmt numFmtId="164" formatCode="_(* #,##0_);_(* \(#,##0\);_(* &quot;-&quot;??_);_(@_)"/>
    </dxf>
    <dxf>
      <numFmt numFmtId="164" formatCode="_(* #,##0_);_(* \(#,##0\);_(* &quot;-&quot;??_);_(@_)"/>
    </dxf>
    <dxf>
      <numFmt numFmtId="164" formatCode="_(* #,##0_);_(* \(#,##0\);_(* &quot;-&quot;??_);_(@_)"/>
    </dxf>
    <dxf>
      <numFmt numFmtId="2" formatCode="0.00"/>
    </dxf>
    <dxf>
      <numFmt numFmtId="2" formatCode="0.00"/>
    </dxf>
    <dxf>
      <numFmt numFmtId="1" formatCode="0"/>
    </dxf>
    <dxf>
      <numFmt numFmtId="2" formatCode="0.00"/>
    </dxf>
    <dxf>
      <numFmt numFmtId="164" formatCode="_(* #,##0_);_(* \(#,##0\);_(* &quot;-&quot;??_);_(@_)"/>
    </dxf>
    <dxf>
      <numFmt numFmtId="13" formatCode="0%"/>
    </dxf>
    <dxf>
      <numFmt numFmtId="164" formatCode="_(* #,##0_);_(* \(#,##0\);_(* &quot;-&quot;??_);_(@_)"/>
    </dxf>
    <dxf>
      <numFmt numFmtId="1" formatCode="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alignment horizontal="general" vertical="center" textRotation="0" wrapText="1" indent="0" justifyLastLine="0" shrinkToFit="0" readingOrder="0"/>
    </dxf>
    <dxf>
      <font>
        <b/>
        <i val="0"/>
        <strike val="0"/>
        <condense val="0"/>
        <extend val="0"/>
        <outline val="0"/>
        <shadow val="0"/>
        <u val="none"/>
        <vertAlign val="baseline"/>
        <sz val="11"/>
        <color theme="1"/>
        <name val="Century Gothic"/>
        <family val="2"/>
        <scheme val="minor"/>
      </font>
      <alignment horizontal="general" vertical="center" textRotation="0" wrapText="1" indent="0" justifyLastLine="0" shrinkToFit="0" readingOrder="0"/>
    </dxf>
    <dxf>
      <font>
        <b/>
        <i val="0"/>
        <strike val="0"/>
        <condense val="0"/>
        <extend val="0"/>
        <outline val="0"/>
        <shadow val="0"/>
        <u val="none"/>
        <vertAlign val="baseline"/>
        <sz val="11"/>
        <color theme="1"/>
        <name val="Century Gothic"/>
        <family val="2"/>
        <scheme val="minor"/>
      </font>
      <alignment horizontal="center" vertical="center" textRotation="0" wrapText="1" indent="0" justifyLastLine="0" shrinkToFit="0" readingOrder="0"/>
    </dxf>
    <dxf>
      <fill>
        <patternFill>
          <bgColor theme="3"/>
        </patternFill>
      </fill>
    </dxf>
    <dxf>
      <fill>
        <patternFill patternType="solid">
          <fgColor theme="3"/>
          <bgColor theme="3"/>
        </patternFill>
      </fill>
    </dxf>
  </dxfs>
  <tableStyles count="2" defaultTableStyle="TableStyleMedium2" defaultPivotStyle="PivotStyleLight16">
    <tableStyle name="Slicer Style 1" pivot="0" table="0" count="0" xr9:uid="{E874A425-3213-4892-8AC6-317DF3FBB126}"/>
    <tableStyle name="Slicer Style 2" pivot="0" table="0" count="8" xr9:uid="{CEF2822F-46B7-4E51-A745-9E9D038EFA19}">
      <tableStyleElement type="wholeTable" dxfId="396"/>
      <tableStyleElement type="headerRow" dxfId="395"/>
    </tableStyle>
  </tableStyles>
  <colors>
    <mruColors>
      <color rgb="FF156E99"/>
      <color rgb="FFCFE0EA"/>
      <color rgb="FF0E76B6"/>
      <color rgb="FF073B5B"/>
      <color rgb="FFC1D3E6"/>
      <color rgb="FF1E66A2"/>
      <color rgb="FFBFC7D7"/>
      <color rgb="FFE4E3A7"/>
      <color rgb="FFBEA7E3"/>
      <color rgb="FF020659"/>
    </mruColors>
  </colors>
  <extLst>
    <ext xmlns:x14="http://schemas.microsoft.com/office/spreadsheetml/2009/9/main" uri="{46F421CA-312F-682f-3DD2-61675219B42D}">
      <x14:dxfs count="6">
        <dxf>
          <fill>
            <patternFill>
              <bgColor theme="3"/>
            </patternFill>
          </fill>
        </dxf>
        <dxf>
          <fill>
            <patternFill>
              <bgColor theme="2" tint="0.59996337778862885"/>
            </patternFill>
          </fill>
        </dxf>
        <dxf>
          <fill>
            <patternFill>
              <bgColor theme="3"/>
            </patternFill>
          </fill>
        </dxf>
        <dxf>
          <fill>
            <patternFill patternType="solid">
              <fgColor theme="0"/>
              <bgColor theme="2" tint="0.59996337778862885"/>
            </patternFill>
          </fill>
        </dxf>
        <dxf>
          <fill>
            <patternFill>
              <bgColor theme="3"/>
            </patternFill>
          </fill>
        </dxf>
        <dxf>
          <fill>
            <patternFill>
              <bgColor theme="3"/>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unselectedItemWithData" dxfId="5"/>
            <x14:slicerStyleElement type="unselectedItemWithNoData" dxfId="4"/>
            <x14:slicerStyleElement type="selectedItemWithData" dxfId="3"/>
            <x14:slicerStyleElement type="selectedItemWithNo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6.xml"/><Relationship Id="rId18" Type="http://schemas.openxmlformats.org/officeDocument/2006/relationships/pivotCacheDefinition" Target="pivotCache/pivotCacheDefinition11.xml"/><Relationship Id="rId26" Type="http://schemas.openxmlformats.org/officeDocument/2006/relationships/pivotCacheDefinition" Target="pivotCache/pivotCacheDefinition19.xml"/><Relationship Id="rId39" Type="http://schemas.openxmlformats.org/officeDocument/2006/relationships/calcChain" Target="calcChain.xml"/><Relationship Id="rId21" Type="http://schemas.openxmlformats.org/officeDocument/2006/relationships/pivotCacheDefinition" Target="pivotCache/pivotCacheDefinition14.xml"/><Relationship Id="rId34" Type="http://schemas.openxmlformats.org/officeDocument/2006/relationships/theme" Target="theme/theme1.xml"/><Relationship Id="rId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pivotCacheDefinition" Target="pivotCache/pivotCacheDefinition9.xml"/><Relationship Id="rId20" Type="http://schemas.openxmlformats.org/officeDocument/2006/relationships/pivotCacheDefinition" Target="pivotCache/pivotCacheDefinition13.xml"/><Relationship Id="rId29" Type="http://schemas.openxmlformats.org/officeDocument/2006/relationships/pivotCacheDefinition" Target="pivotCache/pivotCacheDefinition22.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4.xml"/><Relationship Id="rId24" Type="http://schemas.openxmlformats.org/officeDocument/2006/relationships/pivotCacheDefinition" Target="pivotCache/pivotCacheDefinition17.xml"/><Relationship Id="rId32" Type="http://schemas.microsoft.com/office/2007/relationships/slicerCache" Target="slicerCaches/slicerCache1.xml"/><Relationship Id="rId37" Type="http://schemas.openxmlformats.org/officeDocument/2006/relationships/sharedStrings" Target="sharedString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pivotCacheDefinition" Target="pivotCache/pivotCacheDefinition8.xml"/><Relationship Id="rId23" Type="http://schemas.openxmlformats.org/officeDocument/2006/relationships/pivotCacheDefinition" Target="pivotCache/pivotCacheDefinition16.xml"/><Relationship Id="rId28" Type="http://schemas.openxmlformats.org/officeDocument/2006/relationships/pivotCacheDefinition" Target="pivotCache/pivotCacheDefinition21.xml"/><Relationship Id="rId36" Type="http://schemas.openxmlformats.org/officeDocument/2006/relationships/styles" Target="styles.xml"/><Relationship Id="rId10" Type="http://schemas.openxmlformats.org/officeDocument/2006/relationships/pivotCacheDefinition" Target="pivotCache/pivotCacheDefinition3.xml"/><Relationship Id="rId19" Type="http://schemas.openxmlformats.org/officeDocument/2006/relationships/pivotCacheDefinition" Target="pivotCache/pivotCacheDefinition12.xml"/><Relationship Id="rId31" Type="http://schemas.openxmlformats.org/officeDocument/2006/relationships/pivotCacheDefinition" Target="pivotCache/pivotCacheDefinition24.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pivotCacheDefinition" Target="pivotCache/pivotCacheDefinition7.xml"/><Relationship Id="rId22" Type="http://schemas.openxmlformats.org/officeDocument/2006/relationships/pivotCacheDefinition" Target="pivotCache/pivotCacheDefinition15.xml"/><Relationship Id="rId27" Type="http://schemas.openxmlformats.org/officeDocument/2006/relationships/pivotCacheDefinition" Target="pivotCache/pivotCacheDefinition20.xml"/><Relationship Id="rId30" Type="http://schemas.openxmlformats.org/officeDocument/2006/relationships/pivotCacheDefinition" Target="pivotCache/pivotCacheDefinition23.xml"/><Relationship Id="rId35" Type="http://schemas.openxmlformats.org/officeDocument/2006/relationships/connections" Target="connections.xml"/><Relationship Id="rId8"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pivotCacheDefinition" Target="pivotCache/pivotCacheDefinition5.xml"/><Relationship Id="rId17" Type="http://schemas.openxmlformats.org/officeDocument/2006/relationships/pivotCacheDefinition" Target="pivotCache/pivotCacheDefinition10.xml"/><Relationship Id="rId25" Type="http://schemas.openxmlformats.org/officeDocument/2006/relationships/pivotCacheDefinition" Target="pivotCache/pivotCacheDefinition18.xml"/><Relationship Id="rId33" Type="http://schemas.microsoft.com/office/2007/relationships/slicerCache" Target="slicerCaches/slicerCache2.xml"/><Relationship Id="rId38" Type="http://schemas.openxmlformats.org/officeDocument/2006/relationships/powerPivotData" Target="model/item.data"/></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[Book1 - Copy(AutoRecovered).xlsm]Pivot Table!Dept_Income_Slab</c:name>
    <c:fmtId val="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Table'!$BA$1:$BA$2</c:f>
              <c:strCache>
                <c:ptCount val="1"/>
                <c:pt idx="0">
                  <c:v>10k-15k</c:v>
                </c:pt>
              </c:strCache>
            </c:strRef>
          </c:tx>
          <c:spPr>
            <a:solidFill>
              <a:schemeClr val="accent1"/>
            </a:solidFill>
            <a:ln>
              <a:noFill/>
            </a:ln>
            <a:effectLst/>
          </c:spPr>
          <c:invertIfNegative val="0"/>
          <c:cat>
            <c:strRef>
              <c:f>'Pivot Table'!$AZ$3:$AZ$6</c:f>
              <c:strCache>
                <c:ptCount val="3"/>
                <c:pt idx="0">
                  <c:v>Human Resources</c:v>
                </c:pt>
                <c:pt idx="1">
                  <c:v>Research &amp; Development</c:v>
                </c:pt>
                <c:pt idx="2">
                  <c:v>Sales</c:v>
                </c:pt>
              </c:strCache>
            </c:strRef>
          </c:cat>
          <c:val>
            <c:numRef>
              <c:f>'Pivot Table'!$BA$3:$BA$6</c:f>
              <c:numCache>
                <c:formatCode>0.00</c:formatCode>
                <c:ptCount val="3"/>
                <c:pt idx="0">
                  <c:v>35233</c:v>
                </c:pt>
                <c:pt idx="1">
                  <c:v>1202417</c:v>
                </c:pt>
                <c:pt idx="2">
                  <c:v>549526</c:v>
                </c:pt>
              </c:numCache>
            </c:numRef>
          </c:val>
          <c:extLst>
            <c:ext xmlns:c16="http://schemas.microsoft.com/office/drawing/2014/chart" uri="{C3380CC4-5D6E-409C-BE32-E72D297353CC}">
              <c16:uniqueId val="{00000004-3D4A-4CF9-B71C-70E8B2C09CFB}"/>
            </c:ext>
          </c:extLst>
        </c:ser>
        <c:ser>
          <c:idx val="1"/>
          <c:order val="1"/>
          <c:tx>
            <c:strRef>
              <c:f>'Pivot Table'!$BB$1:$BB$2</c:f>
              <c:strCache>
                <c:ptCount val="1"/>
                <c:pt idx="0">
                  <c:v>15k+</c:v>
                </c:pt>
              </c:strCache>
            </c:strRef>
          </c:tx>
          <c:spPr>
            <a:solidFill>
              <a:schemeClr val="accent2"/>
            </a:solidFill>
            <a:ln>
              <a:noFill/>
            </a:ln>
            <a:effectLst/>
          </c:spPr>
          <c:invertIfNegative val="0"/>
          <c:cat>
            <c:strRef>
              <c:f>'Pivot Table'!$AZ$3:$AZ$6</c:f>
              <c:strCache>
                <c:ptCount val="3"/>
                <c:pt idx="0">
                  <c:v>Human Resources</c:v>
                </c:pt>
                <c:pt idx="1">
                  <c:v>Research &amp; Development</c:v>
                </c:pt>
                <c:pt idx="2">
                  <c:v>Sales</c:v>
                </c:pt>
              </c:strCache>
            </c:strRef>
          </c:cat>
          <c:val>
            <c:numRef>
              <c:f>'Pivot Table'!$BB$3:$BB$6</c:f>
              <c:numCache>
                <c:formatCode>0.00</c:formatCode>
                <c:ptCount val="3"/>
                <c:pt idx="0">
                  <c:v>184949</c:v>
                </c:pt>
                <c:pt idx="1">
                  <c:v>1666954</c:v>
                </c:pt>
                <c:pt idx="2">
                  <c:v>549992</c:v>
                </c:pt>
              </c:numCache>
            </c:numRef>
          </c:val>
          <c:extLst>
            <c:ext xmlns:c16="http://schemas.microsoft.com/office/drawing/2014/chart" uri="{C3380CC4-5D6E-409C-BE32-E72D297353CC}">
              <c16:uniqueId val="{00000009-95ED-43EE-A543-18F15F655BEA}"/>
            </c:ext>
          </c:extLst>
        </c:ser>
        <c:ser>
          <c:idx val="2"/>
          <c:order val="2"/>
          <c:tx>
            <c:strRef>
              <c:f>'Pivot Table'!$BC$1:$BC$2</c:f>
              <c:strCache>
                <c:ptCount val="1"/>
                <c:pt idx="0">
                  <c:v>5k-10k</c:v>
                </c:pt>
              </c:strCache>
            </c:strRef>
          </c:tx>
          <c:spPr>
            <a:solidFill>
              <a:schemeClr val="accent3"/>
            </a:solidFill>
            <a:ln>
              <a:noFill/>
            </a:ln>
            <a:effectLst/>
          </c:spPr>
          <c:invertIfNegative val="0"/>
          <c:cat>
            <c:strRef>
              <c:f>'Pivot Table'!$AZ$3:$AZ$6</c:f>
              <c:strCache>
                <c:ptCount val="3"/>
                <c:pt idx="0">
                  <c:v>Human Resources</c:v>
                </c:pt>
                <c:pt idx="1">
                  <c:v>Research &amp; Development</c:v>
                </c:pt>
                <c:pt idx="2">
                  <c:v>Sales</c:v>
                </c:pt>
              </c:strCache>
            </c:strRef>
          </c:cat>
          <c:val>
            <c:numRef>
              <c:f>'Pivot Table'!$BC$3:$BC$6</c:f>
              <c:numCache>
                <c:formatCode>0.00</c:formatCode>
                <c:ptCount val="3"/>
                <c:pt idx="0">
                  <c:v>96409</c:v>
                </c:pt>
                <c:pt idx="1">
                  <c:v>1474093</c:v>
                </c:pt>
                <c:pt idx="2">
                  <c:v>1465106</c:v>
                </c:pt>
              </c:numCache>
            </c:numRef>
          </c:val>
          <c:extLst>
            <c:ext xmlns:c16="http://schemas.microsoft.com/office/drawing/2014/chart" uri="{C3380CC4-5D6E-409C-BE32-E72D297353CC}">
              <c16:uniqueId val="{0000000A-95ED-43EE-A543-18F15F655BEA}"/>
            </c:ext>
          </c:extLst>
        </c:ser>
        <c:ser>
          <c:idx val="3"/>
          <c:order val="3"/>
          <c:tx>
            <c:strRef>
              <c:f>'Pivot Table'!$BD$1:$BD$2</c:f>
              <c:strCache>
                <c:ptCount val="1"/>
                <c:pt idx="0">
                  <c:v>Upto 5k</c:v>
                </c:pt>
              </c:strCache>
            </c:strRef>
          </c:tx>
          <c:spPr>
            <a:solidFill>
              <a:schemeClr val="accent4"/>
            </a:solidFill>
            <a:ln>
              <a:noFill/>
            </a:ln>
            <a:effectLst/>
          </c:spPr>
          <c:invertIfNegative val="0"/>
          <c:cat>
            <c:strRef>
              <c:f>'Pivot Table'!$AZ$3:$AZ$6</c:f>
              <c:strCache>
                <c:ptCount val="3"/>
                <c:pt idx="0">
                  <c:v>Human Resources</c:v>
                </c:pt>
                <c:pt idx="1">
                  <c:v>Research &amp; Development</c:v>
                </c:pt>
                <c:pt idx="2">
                  <c:v>Sales</c:v>
                </c:pt>
              </c:strCache>
            </c:strRef>
          </c:cat>
          <c:val>
            <c:numRef>
              <c:f>'Pivot Table'!$BD$3:$BD$6</c:f>
              <c:numCache>
                <c:formatCode>0.00</c:formatCode>
                <c:ptCount val="3"/>
                <c:pt idx="0">
                  <c:v>102643</c:v>
                </c:pt>
                <c:pt idx="1">
                  <c:v>1729649</c:v>
                </c:pt>
                <c:pt idx="2">
                  <c:v>570408</c:v>
                </c:pt>
              </c:numCache>
            </c:numRef>
          </c:val>
          <c:extLst>
            <c:ext xmlns:c16="http://schemas.microsoft.com/office/drawing/2014/chart" uri="{C3380CC4-5D6E-409C-BE32-E72D297353CC}">
              <c16:uniqueId val="{0000000B-95ED-43EE-A543-18F15F655BEA}"/>
            </c:ext>
          </c:extLst>
        </c:ser>
        <c:dLbls>
          <c:showLegendKey val="0"/>
          <c:showVal val="0"/>
          <c:showCatName val="0"/>
          <c:showSerName val="0"/>
          <c:showPercent val="0"/>
          <c:showBubbleSize val="0"/>
        </c:dLbls>
        <c:gapWidth val="150"/>
        <c:overlap val="100"/>
        <c:axId val="1971763696"/>
        <c:axId val="1971763216"/>
      </c:barChart>
      <c:catAx>
        <c:axId val="1971763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1763216"/>
        <c:crosses val="autoZero"/>
        <c:auto val="1"/>
        <c:lblAlgn val="ctr"/>
        <c:lblOffset val="100"/>
        <c:noMultiLvlLbl val="0"/>
      </c:catAx>
      <c:valAx>
        <c:axId val="1971763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17636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[Book1 - Copy(AutoRecovered).xlsm]Pivot Table!Attrition Rate by joprole</c:name>
    <c:fmtId val="1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lumMod val="50000"/>
            </a:schemeClr>
          </a:solidFill>
          <a:ln>
            <a:solidFill>
              <a:schemeClr val="accent2">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lumMod val="50000"/>
            </a:schemeClr>
          </a:solidFill>
          <a:ln>
            <a:solidFill>
              <a:schemeClr val="accent2">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solidFill>
              <a:schemeClr val="accent2">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solidFill>
              <a:schemeClr val="accent2">
                <a:lumMod val="50000"/>
              </a:schemeClr>
            </a:solidFill>
          </a:ln>
          <a:effectLst/>
        </c:spPr>
      </c:pivotFmt>
    </c:pivotFmts>
    <c:plotArea>
      <c:layout/>
      <c:barChart>
        <c:barDir val="bar"/>
        <c:grouping val="clustered"/>
        <c:varyColors val="0"/>
        <c:ser>
          <c:idx val="0"/>
          <c:order val="0"/>
          <c:tx>
            <c:strRef>
              <c:f>'Pivot Table'!$L$1</c:f>
              <c:strCache>
                <c:ptCount val="1"/>
                <c:pt idx="0">
                  <c:v>Total</c:v>
                </c:pt>
              </c:strCache>
            </c:strRef>
          </c:tx>
          <c:spPr>
            <a:solidFill>
              <a:schemeClr val="accent1"/>
            </a:solidFill>
            <a:ln>
              <a:solidFill>
                <a:schemeClr val="accent2">
                  <a:lumMod val="5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Table'!$K$2:$K$11</c:f>
              <c:strCache>
                <c:ptCount val="9"/>
                <c:pt idx="0">
                  <c:v>Healthcare Representative</c:v>
                </c:pt>
                <c:pt idx="1">
                  <c:v>Human Resources</c:v>
                </c:pt>
                <c:pt idx="2">
                  <c:v>Laboratory Technician</c:v>
                </c:pt>
                <c:pt idx="3">
                  <c:v>Manager</c:v>
                </c:pt>
                <c:pt idx="4">
                  <c:v>Manufacturing Director</c:v>
                </c:pt>
                <c:pt idx="5">
                  <c:v>Research Director</c:v>
                </c:pt>
                <c:pt idx="6">
                  <c:v>Research Scientist</c:v>
                </c:pt>
                <c:pt idx="7">
                  <c:v>Sales Executive</c:v>
                </c:pt>
                <c:pt idx="8">
                  <c:v>Sales Representative</c:v>
                </c:pt>
              </c:strCache>
            </c:strRef>
          </c:cat>
          <c:val>
            <c:numRef>
              <c:f>'Pivot Table'!$L$2:$L$11</c:f>
              <c:numCache>
                <c:formatCode>0%</c:formatCode>
                <c:ptCount val="9"/>
                <c:pt idx="0">
                  <c:v>6.8181818181818177E-2</c:v>
                </c:pt>
                <c:pt idx="1">
                  <c:v>0.23076923076923078</c:v>
                </c:pt>
                <c:pt idx="2">
                  <c:v>0.23754789272030652</c:v>
                </c:pt>
                <c:pt idx="3">
                  <c:v>4.9019607843137254E-2</c:v>
                </c:pt>
                <c:pt idx="4">
                  <c:v>6.8027210884353748E-2</c:v>
                </c:pt>
                <c:pt idx="5">
                  <c:v>2.5000000000000001E-2</c:v>
                </c:pt>
                <c:pt idx="6">
                  <c:v>0.16040955631399317</c:v>
                </c:pt>
                <c:pt idx="7">
                  <c:v>0.17629179331306991</c:v>
                </c:pt>
                <c:pt idx="8">
                  <c:v>0.39285714285714285</c:v>
                </c:pt>
              </c:numCache>
            </c:numRef>
          </c:val>
          <c:extLst>
            <c:ext xmlns:c16="http://schemas.microsoft.com/office/drawing/2014/chart" uri="{C3380CC4-5D6E-409C-BE32-E72D297353CC}">
              <c16:uniqueId val="{00000000-A34E-4ED6-86A0-83985240E6D5}"/>
            </c:ext>
          </c:extLst>
        </c:ser>
        <c:dLbls>
          <c:showLegendKey val="0"/>
          <c:showVal val="0"/>
          <c:showCatName val="0"/>
          <c:showSerName val="0"/>
          <c:showPercent val="0"/>
          <c:showBubbleSize val="0"/>
        </c:dLbls>
        <c:gapWidth val="80"/>
        <c:axId val="299825136"/>
        <c:axId val="299804496"/>
      </c:barChart>
      <c:catAx>
        <c:axId val="2998251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299804496"/>
        <c:crosses val="autoZero"/>
        <c:auto val="1"/>
        <c:lblAlgn val="ctr"/>
        <c:lblOffset val="100"/>
        <c:noMultiLvlLbl val="0"/>
      </c:catAx>
      <c:valAx>
        <c:axId val="299804496"/>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98251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[Book1 - Copy(AutoRecovered).xlsm]Pivot Table!Monthiy income By Dept</c:name>
    <c:fmtId val="19"/>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solidFill>
                <a:schemeClr val="tx2"/>
              </a:solidFill>
            </a:ln>
            <a:effectLst/>
          </c:spPr>
          <c:txPr>
            <a:bodyPr rot="0" spcFirstLastPara="1" vertOverflow="clip" horzOverflow="clip"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tx2">
              <a:lumMod val="50000"/>
            </a:schemeClr>
          </a:solidFill>
          <a:ln w="19050">
            <a:solidFill>
              <a:schemeClr val="lt1"/>
            </a:solidFill>
          </a:ln>
          <a:effectLst/>
        </c:spPr>
        <c:dLbl>
          <c:idx val="0"/>
          <c:layout>
            <c:manualLayout>
              <c:x val="5.8989098325863847E-2"/>
              <c:y val="-0.2621481846669102"/>
            </c:manualLayout>
          </c:layout>
          <c:spPr>
            <a:xfrm>
              <a:off x="2072374" y="761768"/>
              <a:ext cx="838138" cy="1149706"/>
            </a:xfrm>
            <a:noFill/>
            <a:ln w="9525" cap="flat" cmpd="sng" algn="ctr">
              <a:solidFill>
                <a:schemeClr val="tx2"/>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noAutofit/>
            </a:bodyPr>
            <a:lstStyle/>
            <a:p>
              <a:pPr>
                <a:defRPr lang="en-US"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gd name="adj1" fmla="val -6572"/>
                    <a:gd name="adj2" fmla="val 27949"/>
                  </a:avLst>
                </a:prstGeom>
                <a:noFill/>
                <a:ln>
                  <a:noFill/>
                </a:ln>
              </c15:spPr>
              <c15:layout>
                <c:manualLayout>
                  <c:w val="0.272566166458029"/>
                  <c:h val="0.2348187675017975"/>
                </c:manualLayout>
              </c15:layout>
            </c:ext>
          </c:extLst>
        </c:dLbl>
      </c:pivotFmt>
      <c:pivotFmt>
        <c:idx val="15"/>
        <c:spPr>
          <a:solidFill>
            <a:schemeClr val="accent2">
              <a:lumMod val="50000"/>
            </a:schemeClr>
          </a:solidFill>
          <a:ln w="19050">
            <a:solidFill>
              <a:schemeClr val="lt1"/>
            </a:solidFill>
          </a:ln>
          <a:effectLst/>
        </c:spPr>
        <c:dLbl>
          <c:idx val="0"/>
          <c:layout>
            <c:manualLayout>
              <c:x val="-0.34409688538430161"/>
              <c:y val="3.9298370001043498E-2"/>
            </c:manualLayout>
          </c:layout>
          <c:spPr>
            <a:noFill/>
            <a:ln>
              <a:solidFill>
                <a:srgbClr val="146194"/>
              </a:solidFill>
            </a:ln>
            <a:effectLst/>
          </c:spPr>
          <c:txPr>
            <a:bodyPr rot="0" spcFirstLastPara="1" vertOverflow="clip" horzOverflow="clip" vert="horz" wrap="square" lIns="38100" tIns="19050" rIns="38100" bIns="19050" anchor="ctr" anchorCtr="1">
              <a:noAutofit/>
            </a:bodyPr>
            <a:lstStyle/>
            <a:p>
              <a:pPr>
                <a:defRPr lang="en-US"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3280799988210592"/>
                  <c:h val="0.23498405555117627"/>
                </c:manualLayout>
              </c15:layout>
            </c:ext>
          </c:extLst>
        </c:dLbl>
      </c:pivotFmt>
      <c:pivotFmt>
        <c:idx val="16"/>
        <c:spPr>
          <a:solidFill>
            <a:schemeClr val="bg2">
              <a:lumMod val="50000"/>
            </a:schemeClr>
          </a:solidFill>
          <a:ln w="19050">
            <a:solidFill>
              <a:schemeClr val="lt1"/>
            </a:solidFill>
          </a:ln>
          <a:effectLst/>
        </c:spPr>
        <c:dLbl>
          <c:idx val="0"/>
          <c:layout>
            <c:manualLayout>
              <c:x val="-1.4240195089070928E-2"/>
              <c:y val="-0.1929385798333178"/>
            </c:manualLayout>
          </c:layout>
          <c:spPr>
            <a:noFill/>
            <a:ln>
              <a:solidFill>
                <a:srgbClr val="146194"/>
              </a:solidFill>
            </a:ln>
            <a:effectLst/>
          </c:spPr>
          <c:txPr>
            <a:bodyPr rot="0" spcFirstLastPara="1" vertOverflow="clip" horzOverflow="clip" vert="horz" wrap="square" lIns="38100" tIns="19050" rIns="38100" bIns="19050" anchor="ctr" anchorCtr="1">
              <a:noAutofit/>
            </a:bodyPr>
            <a:lstStyle/>
            <a:p>
              <a:pPr>
                <a:defRPr lang="en-US"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0947246884937301"/>
                  <c:h val="0.13024687023010167"/>
                </c:manualLayout>
              </c15:layout>
            </c:ext>
          </c:extLst>
        </c:dLbl>
      </c:pivotFmt>
      <c:pivotFmt>
        <c:idx val="17"/>
        <c:spPr>
          <a:solidFill>
            <a:schemeClr val="accent1"/>
          </a:solidFill>
          <a:ln w="19050">
            <a:solidFill>
              <a:schemeClr val="lt1"/>
            </a:solidFill>
          </a:ln>
          <a:effectLst/>
        </c:spPr>
        <c:marker>
          <c:symbol val="none"/>
        </c:marker>
        <c:dLbl>
          <c:idx val="0"/>
          <c:spPr>
            <a:noFill/>
            <a:ln>
              <a:solidFill>
                <a:schemeClr val="tx2"/>
              </a:solidFill>
            </a:ln>
            <a:effectLst/>
          </c:spPr>
          <c:txPr>
            <a:bodyPr rot="0" spcFirstLastPara="1" vertOverflow="clip" horzOverflow="clip"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8"/>
        <c:spPr>
          <a:solidFill>
            <a:schemeClr val="tx2">
              <a:lumMod val="50000"/>
            </a:schemeClr>
          </a:solidFill>
          <a:ln w="19050">
            <a:solidFill>
              <a:schemeClr val="lt1"/>
            </a:solidFill>
          </a:ln>
          <a:effectLst/>
        </c:spPr>
        <c:dLbl>
          <c:idx val="0"/>
          <c:layout>
            <c:manualLayout>
              <c:x val="5.8989098325863847E-2"/>
              <c:y val="-0.2621481846669102"/>
            </c:manualLayout>
          </c:layout>
          <c:spPr>
            <a:xfrm>
              <a:off x="2072374" y="761768"/>
              <a:ext cx="838138" cy="1149706"/>
            </a:xfrm>
            <a:noFill/>
            <a:ln w="9525" cap="flat" cmpd="sng" algn="ctr">
              <a:solidFill>
                <a:schemeClr val="tx2"/>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noAutofit/>
            </a:bodyPr>
            <a:lstStyle/>
            <a:p>
              <a:pPr>
                <a:defRPr lang="en-US"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gd name="adj1" fmla="val -6572"/>
                    <a:gd name="adj2" fmla="val 27949"/>
                  </a:avLst>
                </a:prstGeom>
                <a:noFill/>
                <a:ln>
                  <a:noFill/>
                </a:ln>
              </c15:spPr>
              <c15:layout>
                <c:manualLayout>
                  <c:w val="0.272566166458029"/>
                  <c:h val="0.2348187675017975"/>
                </c:manualLayout>
              </c15:layout>
            </c:ext>
          </c:extLst>
        </c:dLbl>
      </c:pivotFmt>
      <c:pivotFmt>
        <c:idx val="19"/>
        <c:spPr>
          <a:solidFill>
            <a:schemeClr val="accent1"/>
          </a:solidFill>
          <a:ln w="19050">
            <a:solidFill>
              <a:schemeClr val="lt1"/>
            </a:solidFill>
          </a:ln>
          <a:effectLst/>
        </c:spPr>
        <c:marker>
          <c:symbol val="none"/>
        </c:marker>
        <c:dLbl>
          <c:idx val="0"/>
          <c:spPr>
            <a:noFill/>
            <a:ln>
              <a:solidFill>
                <a:srgbClr val="146194"/>
              </a:solidFill>
            </a:ln>
            <a:effectLst/>
          </c:spPr>
          <c:txPr>
            <a:bodyPr rot="0" spcFirstLastPara="1" vertOverflow="clip" horzOverflow="clip"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0"/>
        <c:spPr>
          <a:solidFill>
            <a:schemeClr val="tx2">
              <a:lumMod val="50000"/>
            </a:schemeClr>
          </a:solidFill>
          <a:ln w="19050">
            <a:solidFill>
              <a:schemeClr val="lt1"/>
            </a:solidFill>
          </a:ln>
          <a:effectLst/>
        </c:spPr>
        <c:dLbl>
          <c:idx val="0"/>
          <c:layout>
            <c:manualLayout>
              <c:x val="5.8989098325863847E-2"/>
              <c:y val="-0.2621481846669102"/>
            </c:manualLayout>
          </c:layout>
          <c:spPr>
            <a:xfrm>
              <a:off x="2072374" y="761768"/>
              <a:ext cx="838138" cy="1149706"/>
            </a:xfrm>
            <a:noFill/>
            <a:ln w="9525" cap="flat" cmpd="sng" algn="ctr">
              <a:solidFill>
                <a:schemeClr val="tx2"/>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noAutofit/>
            </a:bodyPr>
            <a:lstStyle/>
            <a:p>
              <a:pPr>
                <a:defRPr lang="en-US"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gd name="adj1" fmla="val -6572"/>
                    <a:gd name="adj2" fmla="val 27949"/>
                  </a:avLst>
                </a:prstGeom>
                <a:noFill/>
                <a:ln>
                  <a:noFill/>
                </a:ln>
              </c15:spPr>
              <c15:layout>
                <c:manualLayout>
                  <c:w val="0.272566166458029"/>
                  <c:h val="0.2348187675017975"/>
                </c:manualLayout>
              </c15:layout>
            </c:ext>
          </c:extLst>
        </c:dLbl>
      </c:pivotFmt>
      <c:pivotFmt>
        <c:idx val="21"/>
        <c:spPr>
          <a:solidFill>
            <a:srgbClr val="0E76B6"/>
          </a:solidFill>
          <a:ln w="19050">
            <a:solidFill>
              <a:schemeClr val="lt1"/>
            </a:solidFill>
          </a:ln>
          <a:effectLst/>
        </c:spPr>
      </c:pivotFmt>
      <c:pivotFmt>
        <c:idx val="22"/>
        <c:spPr>
          <a:solidFill>
            <a:srgbClr val="00B0F0"/>
          </a:solidFill>
          <a:ln w="19050">
            <a:solidFill>
              <a:schemeClr val="lt1"/>
            </a:solidFill>
          </a:ln>
          <a:effectLst/>
        </c:spPr>
      </c:pivotFmt>
    </c:pivotFmts>
    <c:plotArea>
      <c:layout/>
      <c:doughnutChart>
        <c:varyColors val="1"/>
        <c:ser>
          <c:idx val="0"/>
          <c:order val="0"/>
          <c:tx>
            <c:strRef>
              <c:f>'Pivot Table'!$O$1</c:f>
              <c:strCache>
                <c:ptCount val="1"/>
                <c:pt idx="0">
                  <c:v>Total</c:v>
                </c:pt>
              </c:strCache>
            </c:strRef>
          </c:tx>
          <c:dPt>
            <c:idx val="0"/>
            <c:bubble3D val="0"/>
            <c:spPr>
              <a:solidFill>
                <a:schemeClr val="tx2">
                  <a:lumMod val="50000"/>
                </a:schemeClr>
              </a:solidFill>
              <a:ln w="19050">
                <a:solidFill>
                  <a:schemeClr val="lt1"/>
                </a:solidFill>
              </a:ln>
              <a:effectLst/>
            </c:spPr>
            <c:extLst>
              <c:ext xmlns:c16="http://schemas.microsoft.com/office/drawing/2014/chart" uri="{C3380CC4-5D6E-409C-BE32-E72D297353CC}">
                <c16:uniqueId val="{00000001-F676-4A8E-A140-8AD9D34ED6D2}"/>
              </c:ext>
            </c:extLst>
          </c:dPt>
          <c:dPt>
            <c:idx val="1"/>
            <c:bubble3D val="0"/>
            <c:spPr>
              <a:solidFill>
                <a:srgbClr val="0E76B6"/>
              </a:solidFill>
              <a:ln w="19050">
                <a:solidFill>
                  <a:schemeClr val="lt1"/>
                </a:solidFill>
              </a:ln>
              <a:effectLst/>
            </c:spPr>
            <c:extLst>
              <c:ext xmlns:c16="http://schemas.microsoft.com/office/drawing/2014/chart" uri="{C3380CC4-5D6E-409C-BE32-E72D297353CC}">
                <c16:uniqueId val="{00000003-F676-4A8E-A140-8AD9D34ED6D2}"/>
              </c:ext>
            </c:extLst>
          </c:dPt>
          <c:dPt>
            <c:idx val="2"/>
            <c:bubble3D val="0"/>
            <c:spPr>
              <a:solidFill>
                <a:srgbClr val="00B0F0"/>
              </a:solidFill>
              <a:ln w="19050">
                <a:solidFill>
                  <a:schemeClr val="lt1"/>
                </a:solidFill>
              </a:ln>
              <a:effectLst/>
            </c:spPr>
            <c:extLst>
              <c:ext xmlns:c16="http://schemas.microsoft.com/office/drawing/2014/chart" uri="{C3380CC4-5D6E-409C-BE32-E72D297353CC}">
                <c16:uniqueId val="{00000005-F676-4A8E-A140-8AD9D34ED6D2}"/>
              </c:ext>
            </c:extLst>
          </c:dPt>
          <c:dLbls>
            <c:dLbl>
              <c:idx val="0"/>
              <c:layout>
                <c:manualLayout>
                  <c:x val="5.8989098325863847E-2"/>
                  <c:y val="-0.2621481846669102"/>
                </c:manualLayout>
              </c:layout>
              <c:spPr>
                <a:xfrm>
                  <a:off x="2072374" y="761768"/>
                  <a:ext cx="838138" cy="1149706"/>
                </a:xfrm>
                <a:noFill/>
                <a:ln w="9525" cap="flat" cmpd="sng" algn="ctr">
                  <a:solidFill>
                    <a:schemeClr val="tx2"/>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noAutofit/>
                </a:bodyPr>
                <a:lstStyle/>
                <a:p>
                  <a:pPr>
                    <a:defRPr lang="en-US"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gd name="adj1" fmla="val -6572"/>
                        <a:gd name="adj2" fmla="val 27949"/>
                      </a:avLst>
                    </a:prstGeom>
                    <a:noFill/>
                    <a:ln>
                      <a:noFill/>
                    </a:ln>
                  </c15:spPr>
                  <c15:layout>
                    <c:manualLayout>
                      <c:w val="0.272566166458029"/>
                      <c:h val="0.2348187675017975"/>
                    </c:manualLayout>
                  </c15:layout>
                </c:ext>
                <c:ext xmlns:c16="http://schemas.microsoft.com/office/drawing/2014/chart" uri="{C3380CC4-5D6E-409C-BE32-E72D297353CC}">
                  <c16:uniqueId val="{00000001-F676-4A8E-A140-8AD9D34ED6D2}"/>
                </c:ext>
              </c:extLst>
            </c:dLbl>
            <c:spPr>
              <a:noFill/>
              <a:ln>
                <a:solidFill>
                  <a:srgbClr val="146194"/>
                </a:solidFill>
              </a:ln>
              <a:effectLst/>
            </c:spPr>
            <c:txPr>
              <a:bodyPr rot="0" spcFirstLastPara="1" vertOverflow="clip" horzOverflow="clip"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Table'!$N$2:$N$5</c:f>
              <c:strCache>
                <c:ptCount val="3"/>
                <c:pt idx="0">
                  <c:v>Human Resources</c:v>
                </c:pt>
                <c:pt idx="1">
                  <c:v>Research &amp; Development</c:v>
                </c:pt>
                <c:pt idx="2">
                  <c:v>Sales</c:v>
                </c:pt>
              </c:strCache>
            </c:strRef>
          </c:cat>
          <c:val>
            <c:numRef>
              <c:f>'Pivot Table'!$O$2:$O$5</c:f>
              <c:numCache>
                <c:formatCode>0</c:formatCode>
                <c:ptCount val="3"/>
                <c:pt idx="0">
                  <c:v>6654.5079365079364</c:v>
                </c:pt>
                <c:pt idx="1">
                  <c:v>6280.3650465356777</c:v>
                </c:pt>
                <c:pt idx="2">
                  <c:v>6966.7377777777774</c:v>
                </c:pt>
              </c:numCache>
            </c:numRef>
          </c:val>
          <c:extLst>
            <c:ext xmlns:c16="http://schemas.microsoft.com/office/drawing/2014/chart" uri="{C3380CC4-5D6E-409C-BE32-E72D297353CC}">
              <c16:uniqueId val="{00000006-F676-4A8E-A140-8AD9D34ED6D2}"/>
            </c:ext>
          </c:extLst>
        </c:ser>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lgn="ct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[Book1 - Copy(AutoRecovered).xlsm]Pivot Table!Dept_OT</c:name>
    <c:fmtId val="3"/>
  </c:pivotSource>
  <c:chart>
    <c:title>
      <c:tx>
        <c:rich>
          <a:bodyPr rot="0" spcFirstLastPara="1" vertOverflow="ellipsis" vert="horz" wrap="square" anchor="ctr" anchorCtr="1"/>
          <a:lstStyle/>
          <a:p>
            <a:pPr>
              <a:defRPr sz="1400" b="1" i="0" u="none" strike="noStrike" kern="1200" spc="0" baseline="0">
                <a:solidFill>
                  <a:srgbClr val="156E99"/>
                </a:solidFill>
                <a:latin typeface="+mn-lt"/>
                <a:ea typeface="+mn-ea"/>
                <a:cs typeface="+mn-cs"/>
              </a:defRPr>
            </a:pPr>
            <a:r>
              <a:rPr lang="en-US" sz="1400" b="1" i="0" u="none" strike="noStrike" baseline="0">
                <a:solidFill>
                  <a:srgbClr val="156E99"/>
                </a:solidFill>
              </a:rPr>
              <a:t>Overtime Rate by Department</a:t>
            </a:r>
            <a:endParaRPr lang="en-US" b="1" i="0" baseline="0">
              <a:solidFill>
                <a:srgbClr val="156E99"/>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rgbClr val="156E99"/>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solidFill>
              <a:srgbClr val="2683C6">
                <a:lumMod val="75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a:noFill/>
          </a:ln>
          <a:effectLst/>
        </c:spPr>
        <c:dLbl>
          <c:idx val="0"/>
          <c:layout>
            <c:manualLayout>
              <c:x val="0.22552212416541798"/>
              <c:y val="-6.7732851677499206E-2"/>
            </c:manualLayout>
          </c:layout>
          <c:spPr>
            <a:solidFill>
              <a:srgbClr val="2683C6">
                <a:lumMod val="75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1"/>
          </a:solidFill>
          <a:ln>
            <a:noFill/>
          </a:ln>
          <a:effectLst/>
        </c:spPr>
        <c:dLbl>
          <c:idx val="0"/>
          <c:layout>
            <c:manualLayout>
              <c:x val="-0.15591653028720256"/>
              <c:y val="-3.3403829102327087E-2"/>
            </c:manualLayout>
          </c:layout>
          <c:spPr>
            <a:solidFill>
              <a:srgbClr val="2683C6">
                <a:lumMod val="75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2820320010347663"/>
                  <c:h val="0.20254050855343694"/>
                </c:manualLayout>
              </c15:layout>
            </c:ext>
          </c:extLst>
        </c:dLbl>
      </c:pivotFmt>
      <c:pivotFmt>
        <c:idx val="5"/>
        <c:spPr>
          <a:solidFill>
            <a:schemeClr val="accent1"/>
          </a:solidFill>
          <a:ln>
            <a:noFill/>
          </a:ln>
          <a:effectLst/>
        </c:spPr>
        <c:dLbl>
          <c:idx val="0"/>
          <c:layout>
            <c:manualLayout>
              <c:x val="0.26450125673721869"/>
              <c:y val="8.4666064596873869E-2"/>
            </c:manualLayout>
          </c:layout>
          <c:spPr>
            <a:solidFill>
              <a:srgbClr val="2683C6">
                <a:lumMod val="75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doughnutChart>
        <c:varyColors val="1"/>
        <c:ser>
          <c:idx val="0"/>
          <c:order val="0"/>
          <c:tx>
            <c:strRef>
              <c:f>'Pivot Table'!$AX$1</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0-FECE-451B-AD8F-EEB40A043148}"/>
              </c:ext>
            </c:extLst>
          </c:dPt>
          <c:dPt>
            <c:idx val="1"/>
            <c:bubble3D val="0"/>
            <c:spPr>
              <a:solidFill>
                <a:schemeClr val="accent2"/>
              </a:solidFill>
              <a:ln>
                <a:noFill/>
              </a:ln>
              <a:effectLst/>
            </c:spPr>
            <c:extLst>
              <c:ext xmlns:c16="http://schemas.microsoft.com/office/drawing/2014/chart" uri="{C3380CC4-5D6E-409C-BE32-E72D297353CC}">
                <c16:uniqueId val="{00000002-FECE-451B-AD8F-EEB40A043148}"/>
              </c:ext>
            </c:extLst>
          </c:dPt>
          <c:dPt>
            <c:idx val="2"/>
            <c:bubble3D val="0"/>
            <c:spPr>
              <a:solidFill>
                <a:schemeClr val="accent3"/>
              </a:solidFill>
              <a:ln>
                <a:noFill/>
              </a:ln>
              <a:effectLst/>
            </c:spPr>
            <c:extLst>
              <c:ext xmlns:c16="http://schemas.microsoft.com/office/drawing/2014/chart" uri="{C3380CC4-5D6E-409C-BE32-E72D297353CC}">
                <c16:uniqueId val="{00000001-FECE-451B-AD8F-EEB40A043148}"/>
              </c:ext>
            </c:extLst>
          </c:dPt>
          <c:dLbls>
            <c:dLbl>
              <c:idx val="0"/>
              <c:layout>
                <c:manualLayout>
                  <c:x val="0.22552212416541798"/>
                  <c:y val="-6.7732851677499206E-2"/>
                </c:manualLayout>
              </c:layout>
              <c:spPr>
                <a:solidFill>
                  <a:srgbClr val="2683C6">
                    <a:lumMod val="75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0-FECE-451B-AD8F-EEB40A043148}"/>
                </c:ext>
              </c:extLst>
            </c:dLbl>
            <c:dLbl>
              <c:idx val="1"/>
              <c:layout>
                <c:manualLayout>
                  <c:x val="0.26450125673721869"/>
                  <c:y val="8.4666064596873869E-2"/>
                </c:manualLayout>
              </c:layout>
              <c:spPr>
                <a:solidFill>
                  <a:srgbClr val="2683C6">
                    <a:lumMod val="75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2-FECE-451B-AD8F-EEB40A043148}"/>
                </c:ext>
              </c:extLst>
            </c:dLbl>
            <c:dLbl>
              <c:idx val="2"/>
              <c:layout>
                <c:manualLayout>
                  <c:x val="-0.15591653028720256"/>
                  <c:y val="-3.3403829102327087E-2"/>
                </c:manualLayout>
              </c:layout>
              <c:spPr>
                <a:solidFill>
                  <a:srgbClr val="2683C6">
                    <a:lumMod val="75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2820320010347663"/>
                      <c:h val="0.20254050855343694"/>
                    </c:manualLayout>
                  </c15:layout>
                </c:ext>
                <c:ext xmlns:c16="http://schemas.microsoft.com/office/drawing/2014/chart" uri="{C3380CC4-5D6E-409C-BE32-E72D297353CC}">
                  <c16:uniqueId val="{00000001-FECE-451B-AD8F-EEB40A043148}"/>
                </c:ext>
              </c:extLst>
            </c:dLbl>
            <c:spPr>
              <a:solidFill>
                <a:srgbClr val="2683C6">
                  <a:lumMod val="75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Table'!$AW$2:$AW$5</c:f>
              <c:strCache>
                <c:ptCount val="3"/>
                <c:pt idx="0">
                  <c:v>Human Resources</c:v>
                </c:pt>
                <c:pt idx="1">
                  <c:v>Research &amp; Development</c:v>
                </c:pt>
                <c:pt idx="2">
                  <c:v>Sales</c:v>
                </c:pt>
              </c:strCache>
            </c:strRef>
          </c:cat>
          <c:val>
            <c:numRef>
              <c:f>'Pivot Table'!$AX$2:$AX$5</c:f>
              <c:numCache>
                <c:formatCode>0.00</c:formatCode>
                <c:ptCount val="3"/>
                <c:pt idx="0">
                  <c:v>63</c:v>
                </c:pt>
                <c:pt idx="1">
                  <c:v>967</c:v>
                </c:pt>
                <c:pt idx="2">
                  <c:v>450</c:v>
                </c:pt>
              </c:numCache>
            </c:numRef>
          </c:val>
          <c:extLst>
            <c:ext xmlns:c16="http://schemas.microsoft.com/office/drawing/2014/chart" uri="{C3380CC4-5D6E-409C-BE32-E72D297353CC}">
              <c16:uniqueId val="{00000000-B4D4-41D0-AB82-D43EC2F8BCD2}"/>
            </c:ext>
          </c:extLst>
        </c:ser>
        <c:dLbls>
          <c:showLegendKey val="0"/>
          <c:showVal val="0"/>
          <c:showCatName val="0"/>
          <c:showSerName val="0"/>
          <c:showPercent val="0"/>
          <c:showBubbleSize val="0"/>
          <c:showLeaderLines val="0"/>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CFE0EA"/>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[Book1 - Copy(AutoRecovered).xlsm]Pivot Table!Dept_Sat</c:name>
    <c:fmtId val="3"/>
  </c:pivotSource>
  <c:chart>
    <c:title>
      <c:tx>
        <c:rich>
          <a:bodyPr rot="0" spcFirstLastPara="1" vertOverflow="ellipsis" vert="horz" wrap="square" anchor="ctr" anchorCtr="1"/>
          <a:lstStyle/>
          <a:p>
            <a:pPr algn="ctr" rtl="0">
              <a:defRPr lang="en-US" sz="1400" b="1" i="0" u="none" strike="noStrike" kern="1200" spc="0" baseline="0">
                <a:solidFill>
                  <a:srgbClr val="156E99"/>
                </a:solidFill>
                <a:latin typeface="+mn-lt"/>
                <a:ea typeface="+mn-ea"/>
                <a:cs typeface="+mn-cs"/>
              </a:defRPr>
            </a:pPr>
            <a:r>
              <a:rPr lang="en-US" sz="1400" b="1" i="0" u="none" strike="noStrike" kern="1200" spc="0" baseline="0">
                <a:solidFill>
                  <a:srgbClr val="156E99"/>
                </a:solidFill>
                <a:latin typeface="+mn-lt"/>
                <a:ea typeface="+mn-ea"/>
                <a:cs typeface="+mn-cs"/>
              </a:rPr>
              <a:t>Work Environment &amp; Work-Life Balance by Department</a:t>
            </a:r>
          </a:p>
        </c:rich>
      </c:tx>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rgbClr val="156E99"/>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8.2641294838145238E-2"/>
          <c:y val="0.16101633129192183"/>
          <c:w val="0.72616272965879258"/>
          <c:h val="0.70436971420239125"/>
        </c:manualLayout>
      </c:layout>
      <c:bar3DChart>
        <c:barDir val="col"/>
        <c:grouping val="standard"/>
        <c:varyColors val="0"/>
        <c:ser>
          <c:idx val="0"/>
          <c:order val="0"/>
          <c:tx>
            <c:strRef>
              <c:f>'Pivot Table'!$BH$1</c:f>
              <c:strCache>
                <c:ptCount val="1"/>
                <c:pt idx="0">
                  <c:v>Avg Env Sat</c:v>
                </c:pt>
              </c:strCache>
            </c:strRef>
          </c:tx>
          <c:spPr>
            <a:solidFill>
              <a:schemeClr val="accent1"/>
            </a:solidFill>
            <a:ln>
              <a:noFill/>
            </a:ln>
            <a:effectLst/>
            <a:sp3d/>
          </c:spPr>
          <c:invertIfNegative val="0"/>
          <c:cat>
            <c:strRef>
              <c:f>'Pivot Table'!$BG$2:$BG$5</c:f>
              <c:strCache>
                <c:ptCount val="3"/>
                <c:pt idx="0">
                  <c:v>Human Resources</c:v>
                </c:pt>
                <c:pt idx="1">
                  <c:v>Research &amp; Development</c:v>
                </c:pt>
                <c:pt idx="2">
                  <c:v>Sales</c:v>
                </c:pt>
              </c:strCache>
            </c:strRef>
          </c:cat>
          <c:val>
            <c:numRef>
              <c:f>'Pivot Table'!$BH$2:$BH$5</c:f>
              <c:numCache>
                <c:formatCode>0.00</c:formatCode>
                <c:ptCount val="3"/>
                <c:pt idx="0">
                  <c:v>2.6825396825396823</c:v>
                </c:pt>
                <c:pt idx="1">
                  <c:v>2.7445708376421925</c:v>
                </c:pt>
                <c:pt idx="2">
                  <c:v>2.6866666666666665</c:v>
                </c:pt>
              </c:numCache>
            </c:numRef>
          </c:val>
          <c:extLst>
            <c:ext xmlns:c16="http://schemas.microsoft.com/office/drawing/2014/chart" uri="{C3380CC4-5D6E-409C-BE32-E72D297353CC}">
              <c16:uniqueId val="{00000000-D22D-4ADC-9B5B-F5E7DC04761E}"/>
            </c:ext>
          </c:extLst>
        </c:ser>
        <c:ser>
          <c:idx val="1"/>
          <c:order val="1"/>
          <c:tx>
            <c:strRef>
              <c:f>'Pivot Table'!$BI$1</c:f>
              <c:strCache>
                <c:ptCount val="1"/>
                <c:pt idx="0">
                  <c:v>Avg WLB</c:v>
                </c:pt>
              </c:strCache>
            </c:strRef>
          </c:tx>
          <c:spPr>
            <a:solidFill>
              <a:schemeClr val="accent2"/>
            </a:solidFill>
            <a:ln>
              <a:noFill/>
            </a:ln>
            <a:effectLst/>
            <a:sp3d/>
          </c:spPr>
          <c:invertIfNegative val="0"/>
          <c:cat>
            <c:strRef>
              <c:f>'Pivot Table'!$BG$2:$BG$5</c:f>
              <c:strCache>
                <c:ptCount val="3"/>
                <c:pt idx="0">
                  <c:v>Human Resources</c:v>
                </c:pt>
                <c:pt idx="1">
                  <c:v>Research &amp; Development</c:v>
                </c:pt>
                <c:pt idx="2">
                  <c:v>Sales</c:v>
                </c:pt>
              </c:strCache>
            </c:strRef>
          </c:cat>
          <c:val>
            <c:numRef>
              <c:f>'Pivot Table'!$BI$2:$BI$5</c:f>
              <c:numCache>
                <c:formatCode>0.00</c:formatCode>
                <c:ptCount val="3"/>
                <c:pt idx="0">
                  <c:v>2.9206349206349205</c:v>
                </c:pt>
                <c:pt idx="1">
                  <c:v>2.7259565667011376</c:v>
                </c:pt>
                <c:pt idx="2">
                  <c:v>2.8133333333333335</c:v>
                </c:pt>
              </c:numCache>
            </c:numRef>
          </c:val>
          <c:extLst>
            <c:ext xmlns:c16="http://schemas.microsoft.com/office/drawing/2014/chart" uri="{C3380CC4-5D6E-409C-BE32-E72D297353CC}">
              <c16:uniqueId val="{00000001-D22D-4ADC-9B5B-F5E7DC04761E}"/>
            </c:ext>
          </c:extLst>
        </c:ser>
        <c:dLbls>
          <c:showLegendKey val="0"/>
          <c:showVal val="0"/>
          <c:showCatName val="0"/>
          <c:showSerName val="0"/>
          <c:showPercent val="0"/>
          <c:showBubbleSize val="0"/>
        </c:dLbls>
        <c:gapWidth val="150"/>
        <c:shape val="box"/>
        <c:axId val="1024939072"/>
        <c:axId val="1024939552"/>
        <c:axId val="1827096576"/>
      </c:bar3DChart>
      <c:catAx>
        <c:axId val="102493907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4939552"/>
        <c:crosses val="autoZero"/>
        <c:auto val="1"/>
        <c:lblAlgn val="ctr"/>
        <c:lblOffset val="100"/>
        <c:noMultiLvlLbl val="0"/>
      </c:catAx>
      <c:valAx>
        <c:axId val="102493955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4939072"/>
        <c:crosses val="autoZero"/>
        <c:crossBetween val="between"/>
      </c:valAx>
      <c:serAx>
        <c:axId val="1827096576"/>
        <c:scaling>
          <c:orientation val="minMax"/>
        </c:scaling>
        <c:delete val="0"/>
        <c:axPos val="b"/>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4939552"/>
        <c:crosses val="autoZero"/>
      </c:serAx>
      <c:spPr>
        <a:solidFill>
          <a:srgbClr val="CFE0EA"/>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CFE0EA"/>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[Book1 - Copy(AutoRecovered).xlsm]Pivot Table!Dept_Income_Slab</c:name>
    <c:fmtId val="9"/>
  </c:pivotSource>
  <c:chart>
    <c:title>
      <c:tx>
        <c:rich>
          <a:bodyPr rot="0" spcFirstLastPara="1" vertOverflow="ellipsis" vert="horz" wrap="square" anchor="ctr" anchorCtr="1"/>
          <a:lstStyle/>
          <a:p>
            <a:pPr algn="ctr" rtl="0">
              <a:defRPr lang="en-US" sz="1400" b="1" i="0" u="none" strike="noStrike" kern="1200" spc="0" baseline="0">
                <a:solidFill>
                  <a:srgbClr val="156E99"/>
                </a:solidFill>
                <a:latin typeface="+mn-lt"/>
                <a:ea typeface="+mn-ea"/>
                <a:cs typeface="+mn-cs"/>
              </a:defRPr>
            </a:pPr>
            <a:r>
              <a:rPr lang="en-US" sz="1400" b="1" i="0" u="none" strike="noStrike" kern="1200" spc="0" baseline="0">
                <a:solidFill>
                  <a:srgbClr val="156E99"/>
                </a:solidFill>
                <a:latin typeface="+mn-lt"/>
                <a:ea typeface="+mn-ea"/>
                <a:cs typeface="+mn-cs"/>
              </a:rPr>
              <a:t>Monthly Income by Department &amp; Salary Slab</a:t>
            </a:r>
          </a:p>
        </c:rich>
      </c:tx>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rgbClr val="156E99"/>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Table'!$BA$1:$BA$2</c:f>
              <c:strCache>
                <c:ptCount val="1"/>
                <c:pt idx="0">
                  <c:v>10k-15k</c:v>
                </c:pt>
              </c:strCache>
            </c:strRef>
          </c:tx>
          <c:spPr>
            <a:solidFill>
              <a:schemeClr val="accent1"/>
            </a:solidFill>
            <a:ln>
              <a:noFill/>
            </a:ln>
            <a:effectLst/>
          </c:spPr>
          <c:invertIfNegative val="0"/>
          <c:cat>
            <c:strRef>
              <c:f>'Pivot Table'!$AZ$3:$AZ$6</c:f>
              <c:strCache>
                <c:ptCount val="3"/>
                <c:pt idx="0">
                  <c:v>Human Resources</c:v>
                </c:pt>
                <c:pt idx="1">
                  <c:v>Research &amp; Development</c:v>
                </c:pt>
                <c:pt idx="2">
                  <c:v>Sales</c:v>
                </c:pt>
              </c:strCache>
            </c:strRef>
          </c:cat>
          <c:val>
            <c:numRef>
              <c:f>'Pivot Table'!$BA$3:$BA$6</c:f>
              <c:numCache>
                <c:formatCode>0.00</c:formatCode>
                <c:ptCount val="3"/>
                <c:pt idx="0">
                  <c:v>35233</c:v>
                </c:pt>
                <c:pt idx="1">
                  <c:v>1202417</c:v>
                </c:pt>
                <c:pt idx="2">
                  <c:v>549526</c:v>
                </c:pt>
              </c:numCache>
            </c:numRef>
          </c:val>
          <c:extLst>
            <c:ext xmlns:c16="http://schemas.microsoft.com/office/drawing/2014/chart" uri="{C3380CC4-5D6E-409C-BE32-E72D297353CC}">
              <c16:uniqueId val="{00000000-B62A-4216-B4E5-7917006B6B59}"/>
            </c:ext>
          </c:extLst>
        </c:ser>
        <c:ser>
          <c:idx val="1"/>
          <c:order val="1"/>
          <c:tx>
            <c:strRef>
              <c:f>'Pivot Table'!$BB$1:$BB$2</c:f>
              <c:strCache>
                <c:ptCount val="1"/>
                <c:pt idx="0">
                  <c:v>15k+</c:v>
                </c:pt>
              </c:strCache>
            </c:strRef>
          </c:tx>
          <c:spPr>
            <a:solidFill>
              <a:schemeClr val="accent2"/>
            </a:solidFill>
            <a:ln>
              <a:noFill/>
            </a:ln>
            <a:effectLst/>
          </c:spPr>
          <c:invertIfNegative val="0"/>
          <c:cat>
            <c:strRef>
              <c:f>'Pivot Table'!$AZ$3:$AZ$6</c:f>
              <c:strCache>
                <c:ptCount val="3"/>
                <c:pt idx="0">
                  <c:v>Human Resources</c:v>
                </c:pt>
                <c:pt idx="1">
                  <c:v>Research &amp; Development</c:v>
                </c:pt>
                <c:pt idx="2">
                  <c:v>Sales</c:v>
                </c:pt>
              </c:strCache>
            </c:strRef>
          </c:cat>
          <c:val>
            <c:numRef>
              <c:f>'Pivot Table'!$BB$3:$BB$6</c:f>
              <c:numCache>
                <c:formatCode>0.00</c:formatCode>
                <c:ptCount val="3"/>
                <c:pt idx="0">
                  <c:v>184949</c:v>
                </c:pt>
                <c:pt idx="1">
                  <c:v>1666954</c:v>
                </c:pt>
                <c:pt idx="2">
                  <c:v>549992</c:v>
                </c:pt>
              </c:numCache>
            </c:numRef>
          </c:val>
          <c:extLst>
            <c:ext xmlns:c16="http://schemas.microsoft.com/office/drawing/2014/chart" uri="{C3380CC4-5D6E-409C-BE32-E72D297353CC}">
              <c16:uniqueId val="{0000000A-9CF2-4BFD-BBB8-6ED93787288D}"/>
            </c:ext>
          </c:extLst>
        </c:ser>
        <c:ser>
          <c:idx val="2"/>
          <c:order val="2"/>
          <c:tx>
            <c:strRef>
              <c:f>'Pivot Table'!$BC$1:$BC$2</c:f>
              <c:strCache>
                <c:ptCount val="1"/>
                <c:pt idx="0">
                  <c:v>5k-10k</c:v>
                </c:pt>
              </c:strCache>
            </c:strRef>
          </c:tx>
          <c:spPr>
            <a:solidFill>
              <a:schemeClr val="accent3"/>
            </a:solidFill>
            <a:ln>
              <a:noFill/>
            </a:ln>
            <a:effectLst/>
          </c:spPr>
          <c:invertIfNegative val="0"/>
          <c:cat>
            <c:strRef>
              <c:f>'Pivot Table'!$AZ$3:$AZ$6</c:f>
              <c:strCache>
                <c:ptCount val="3"/>
                <c:pt idx="0">
                  <c:v>Human Resources</c:v>
                </c:pt>
                <c:pt idx="1">
                  <c:v>Research &amp; Development</c:v>
                </c:pt>
                <c:pt idx="2">
                  <c:v>Sales</c:v>
                </c:pt>
              </c:strCache>
            </c:strRef>
          </c:cat>
          <c:val>
            <c:numRef>
              <c:f>'Pivot Table'!$BC$3:$BC$6</c:f>
              <c:numCache>
                <c:formatCode>0.00</c:formatCode>
                <c:ptCount val="3"/>
                <c:pt idx="0">
                  <c:v>96409</c:v>
                </c:pt>
                <c:pt idx="1">
                  <c:v>1474093</c:v>
                </c:pt>
                <c:pt idx="2">
                  <c:v>1465106</c:v>
                </c:pt>
              </c:numCache>
            </c:numRef>
          </c:val>
          <c:extLst>
            <c:ext xmlns:c16="http://schemas.microsoft.com/office/drawing/2014/chart" uri="{C3380CC4-5D6E-409C-BE32-E72D297353CC}">
              <c16:uniqueId val="{0000000B-9CF2-4BFD-BBB8-6ED93787288D}"/>
            </c:ext>
          </c:extLst>
        </c:ser>
        <c:ser>
          <c:idx val="3"/>
          <c:order val="3"/>
          <c:tx>
            <c:strRef>
              <c:f>'Pivot Table'!$BD$1:$BD$2</c:f>
              <c:strCache>
                <c:ptCount val="1"/>
                <c:pt idx="0">
                  <c:v>Upto 5k</c:v>
                </c:pt>
              </c:strCache>
            </c:strRef>
          </c:tx>
          <c:spPr>
            <a:solidFill>
              <a:schemeClr val="accent4"/>
            </a:solidFill>
            <a:ln>
              <a:noFill/>
            </a:ln>
            <a:effectLst/>
          </c:spPr>
          <c:invertIfNegative val="0"/>
          <c:cat>
            <c:strRef>
              <c:f>'Pivot Table'!$AZ$3:$AZ$6</c:f>
              <c:strCache>
                <c:ptCount val="3"/>
                <c:pt idx="0">
                  <c:v>Human Resources</c:v>
                </c:pt>
                <c:pt idx="1">
                  <c:v>Research &amp; Development</c:v>
                </c:pt>
                <c:pt idx="2">
                  <c:v>Sales</c:v>
                </c:pt>
              </c:strCache>
            </c:strRef>
          </c:cat>
          <c:val>
            <c:numRef>
              <c:f>'Pivot Table'!$BD$3:$BD$6</c:f>
              <c:numCache>
                <c:formatCode>0.00</c:formatCode>
                <c:ptCount val="3"/>
                <c:pt idx="0">
                  <c:v>102643</c:v>
                </c:pt>
                <c:pt idx="1">
                  <c:v>1729649</c:v>
                </c:pt>
                <c:pt idx="2">
                  <c:v>570408</c:v>
                </c:pt>
              </c:numCache>
            </c:numRef>
          </c:val>
          <c:extLst>
            <c:ext xmlns:c16="http://schemas.microsoft.com/office/drawing/2014/chart" uri="{C3380CC4-5D6E-409C-BE32-E72D297353CC}">
              <c16:uniqueId val="{0000000C-9CF2-4BFD-BBB8-6ED93787288D}"/>
            </c:ext>
          </c:extLst>
        </c:ser>
        <c:dLbls>
          <c:showLegendKey val="0"/>
          <c:showVal val="0"/>
          <c:showCatName val="0"/>
          <c:showSerName val="0"/>
          <c:showPercent val="0"/>
          <c:showBubbleSize val="0"/>
        </c:dLbls>
        <c:gapWidth val="219"/>
        <c:overlap val="-27"/>
        <c:axId val="1030888608"/>
        <c:axId val="1030891008"/>
      </c:barChart>
      <c:catAx>
        <c:axId val="1030888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0891008"/>
        <c:crosses val="autoZero"/>
        <c:auto val="1"/>
        <c:lblAlgn val="ctr"/>
        <c:lblOffset val="100"/>
        <c:noMultiLvlLbl val="0"/>
      </c:catAx>
      <c:valAx>
        <c:axId val="1030891008"/>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0888608"/>
        <c:crosses val="autoZero"/>
        <c:crossBetween val="between"/>
      </c:valAx>
      <c:spPr>
        <a:solidFill>
          <a:srgbClr val="CFE0EA"/>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CFE0EA"/>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[Book1 - Copy(AutoRecovered).xlsm]Pivot Table!Dept_Attr</c:name>
    <c:fmtId val="5"/>
  </c:pivotSource>
  <c:chart>
    <c:title>
      <c:tx>
        <c:rich>
          <a:bodyPr rot="0" spcFirstLastPara="1" vertOverflow="ellipsis" vert="horz" wrap="square" anchor="ctr" anchorCtr="1"/>
          <a:lstStyle/>
          <a:p>
            <a:pPr algn="ctr" rtl="0">
              <a:defRPr lang="en-US" sz="1400" b="1" i="0" u="none" strike="noStrike" kern="1200" spc="0" baseline="0">
                <a:solidFill>
                  <a:srgbClr val="156E99"/>
                </a:solidFill>
                <a:latin typeface="+mn-lt"/>
                <a:ea typeface="+mn-ea"/>
                <a:cs typeface="+mn-cs"/>
              </a:defRPr>
            </a:pPr>
            <a:r>
              <a:rPr lang="en-US" sz="1400" b="1" i="0" u="none" strike="noStrike" kern="1200" spc="0" baseline="0">
                <a:solidFill>
                  <a:srgbClr val="156E99"/>
                </a:solidFill>
                <a:latin typeface="+mn-lt"/>
                <a:ea typeface="+mn-ea"/>
                <a:cs typeface="+mn-cs"/>
              </a:rPr>
              <a:t>Attrition Rate by Department</a:t>
            </a:r>
          </a:p>
        </c:rich>
      </c:tx>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rgbClr val="156E99"/>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solidFill>
          <a:srgbClr val="CFE0EA"/>
        </a:solidFill>
        <a:ln>
          <a:noFill/>
        </a:ln>
        <a:effectLst/>
        <a:sp3d/>
      </c:spPr>
    </c:sideWall>
    <c:backWall>
      <c:thickness val="0"/>
      <c:spPr>
        <a:solidFill>
          <a:srgbClr val="CFE0EA"/>
        </a:solidFill>
        <a:ln>
          <a:noFill/>
        </a:ln>
        <a:effectLst/>
        <a:sp3d/>
      </c:spPr>
    </c:backWall>
    <c:plotArea>
      <c:layout>
        <c:manualLayout>
          <c:layoutTarget val="inner"/>
          <c:xMode val="edge"/>
          <c:yMode val="edge"/>
          <c:x val="0.39000367429763039"/>
          <c:y val="9.0703895402078669E-2"/>
          <c:w val="0.52869174835182764"/>
          <c:h val="0.75080489938757655"/>
        </c:manualLayout>
      </c:layout>
      <c:bar3DChart>
        <c:barDir val="bar"/>
        <c:grouping val="clustered"/>
        <c:varyColors val="0"/>
        <c:ser>
          <c:idx val="0"/>
          <c:order val="0"/>
          <c:tx>
            <c:strRef>
              <c:f>'Pivot Table'!$AU$1</c:f>
              <c:strCache>
                <c:ptCount val="1"/>
                <c:pt idx="0">
                  <c:v>Total</c:v>
                </c:pt>
              </c:strCache>
            </c:strRef>
          </c:tx>
          <c:spPr>
            <a:solidFill>
              <a:schemeClr val="accent1"/>
            </a:solidFill>
            <a:ln>
              <a:noFill/>
            </a:ln>
            <a:effectLst/>
            <a:sp3d/>
          </c:spPr>
          <c:invertIfNegative val="0"/>
          <c:cat>
            <c:strRef>
              <c:f>'Pivot Table'!$AT$2:$AT$5</c:f>
              <c:strCache>
                <c:ptCount val="3"/>
                <c:pt idx="0">
                  <c:v>Human Resources</c:v>
                </c:pt>
                <c:pt idx="1">
                  <c:v>Research &amp; Development</c:v>
                </c:pt>
                <c:pt idx="2">
                  <c:v>Sales</c:v>
                </c:pt>
              </c:strCache>
            </c:strRef>
          </c:cat>
          <c:val>
            <c:numRef>
              <c:f>'Pivot Table'!$AU$2:$AU$5</c:f>
              <c:numCache>
                <c:formatCode>0.00</c:formatCode>
                <c:ptCount val="3"/>
                <c:pt idx="0">
                  <c:v>63</c:v>
                </c:pt>
                <c:pt idx="1">
                  <c:v>967</c:v>
                </c:pt>
                <c:pt idx="2">
                  <c:v>450</c:v>
                </c:pt>
              </c:numCache>
            </c:numRef>
          </c:val>
          <c:extLst>
            <c:ext xmlns:c16="http://schemas.microsoft.com/office/drawing/2014/chart" uri="{C3380CC4-5D6E-409C-BE32-E72D297353CC}">
              <c16:uniqueId val="{00000000-96B7-4EE1-B793-9A3B65A3D26C}"/>
            </c:ext>
          </c:extLst>
        </c:ser>
        <c:dLbls>
          <c:showLegendKey val="0"/>
          <c:showVal val="0"/>
          <c:showCatName val="0"/>
          <c:showSerName val="0"/>
          <c:showPercent val="0"/>
          <c:showBubbleSize val="0"/>
        </c:dLbls>
        <c:gapWidth val="150"/>
        <c:shape val="box"/>
        <c:axId val="1832397248"/>
        <c:axId val="1832393408"/>
        <c:axId val="0"/>
      </c:bar3DChart>
      <c:catAx>
        <c:axId val="1832397248"/>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393408"/>
        <c:crosses val="autoZero"/>
        <c:auto val="1"/>
        <c:lblAlgn val="ctr"/>
        <c:lblOffset val="100"/>
        <c:noMultiLvlLbl val="0"/>
      </c:catAx>
      <c:valAx>
        <c:axId val="1832393408"/>
        <c:scaling>
          <c:orientation val="minMax"/>
          <c:max val="1000"/>
        </c:scaling>
        <c:delete val="0"/>
        <c:axPos val="b"/>
        <c:numFmt formatCode="0" sourceLinked="0"/>
        <c:majorTickMark val="out"/>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397248"/>
        <c:crosses val="autoZero"/>
        <c:crossBetween val="between"/>
      </c:valAx>
      <c:spPr>
        <a:solidFill>
          <a:srgbClr val="CFE0EA"/>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CFE0EA"/>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[Book1 - Copy(AutoRecovered).xlsm]Pivot Table!Emp_AgeGroup_Count</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5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5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5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5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E76B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367491166077739"/>
          <c:y val="3.5725518507747953E-2"/>
          <c:w val="0.81693665075322242"/>
          <c:h val="0.91486731276195932"/>
        </c:manualLayout>
      </c:layout>
      <c:barChart>
        <c:barDir val="bar"/>
        <c:grouping val="clustered"/>
        <c:varyColors val="0"/>
        <c:ser>
          <c:idx val="0"/>
          <c:order val="0"/>
          <c:tx>
            <c:strRef>
              <c:f>'Pivot Table'!$AF$1</c:f>
              <c:strCache>
                <c:ptCount val="1"/>
                <c:pt idx="0">
                  <c:v>Total</c:v>
                </c:pt>
              </c:strCache>
            </c:strRef>
          </c:tx>
          <c:spPr>
            <a:solidFill>
              <a:srgbClr val="0E76B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Table'!$AE$2:$AE$45</c:f>
              <c:strCache>
                <c:ptCount val="43"/>
                <c:pt idx="0">
                  <c:v>18</c:v>
                </c:pt>
                <c:pt idx="1">
                  <c:v>19</c:v>
                </c:pt>
                <c:pt idx="2">
                  <c:v>20</c:v>
                </c:pt>
                <c:pt idx="3">
                  <c:v>21</c:v>
                </c:pt>
                <c:pt idx="4">
                  <c:v>22</c:v>
                </c:pt>
                <c:pt idx="5">
                  <c:v>23</c:v>
                </c:pt>
                <c:pt idx="6">
                  <c:v>24</c:v>
                </c:pt>
                <c:pt idx="7">
                  <c:v>25</c:v>
                </c:pt>
                <c:pt idx="8">
                  <c:v>26</c:v>
                </c:pt>
                <c:pt idx="9">
                  <c:v>27</c:v>
                </c:pt>
                <c:pt idx="10">
                  <c:v>28</c:v>
                </c:pt>
                <c:pt idx="11">
                  <c:v>29</c:v>
                </c:pt>
                <c:pt idx="12">
                  <c:v>30</c:v>
                </c:pt>
                <c:pt idx="13">
                  <c:v>31</c:v>
                </c:pt>
                <c:pt idx="14">
                  <c:v>32</c:v>
                </c:pt>
                <c:pt idx="15">
                  <c:v>33</c:v>
                </c:pt>
                <c:pt idx="16">
                  <c:v>34</c:v>
                </c:pt>
                <c:pt idx="17">
                  <c:v>35</c:v>
                </c:pt>
                <c:pt idx="18">
                  <c:v>36</c:v>
                </c:pt>
                <c:pt idx="19">
                  <c:v>37</c:v>
                </c:pt>
                <c:pt idx="20">
                  <c:v>38</c:v>
                </c:pt>
                <c:pt idx="21">
                  <c:v>39</c:v>
                </c:pt>
                <c:pt idx="22">
                  <c:v>40</c:v>
                </c:pt>
                <c:pt idx="23">
                  <c:v>41</c:v>
                </c:pt>
                <c:pt idx="24">
                  <c:v>42</c:v>
                </c:pt>
                <c:pt idx="25">
                  <c:v>43</c:v>
                </c:pt>
                <c:pt idx="26">
                  <c:v>44</c:v>
                </c:pt>
                <c:pt idx="27">
                  <c:v>45</c:v>
                </c:pt>
                <c:pt idx="28">
                  <c:v>46</c:v>
                </c:pt>
                <c:pt idx="29">
                  <c:v>47</c:v>
                </c:pt>
                <c:pt idx="30">
                  <c:v>48</c:v>
                </c:pt>
                <c:pt idx="31">
                  <c:v>49</c:v>
                </c:pt>
                <c:pt idx="32">
                  <c:v>50</c:v>
                </c:pt>
                <c:pt idx="33">
                  <c:v>51</c:v>
                </c:pt>
                <c:pt idx="34">
                  <c:v>52</c:v>
                </c:pt>
                <c:pt idx="35">
                  <c:v>53</c:v>
                </c:pt>
                <c:pt idx="36">
                  <c:v>54</c:v>
                </c:pt>
                <c:pt idx="37">
                  <c:v>55</c:v>
                </c:pt>
                <c:pt idx="38">
                  <c:v>56</c:v>
                </c:pt>
                <c:pt idx="39">
                  <c:v>57</c:v>
                </c:pt>
                <c:pt idx="40">
                  <c:v>58</c:v>
                </c:pt>
                <c:pt idx="41">
                  <c:v>59</c:v>
                </c:pt>
                <c:pt idx="42">
                  <c:v>60</c:v>
                </c:pt>
              </c:strCache>
            </c:strRef>
          </c:cat>
          <c:val>
            <c:numRef>
              <c:f>'Pivot Table'!$AF$2:$AF$45</c:f>
              <c:numCache>
                <c:formatCode>_(* #,##0_);_(* \(#,##0\);_(* "-"??_);_(@_)</c:formatCode>
                <c:ptCount val="43"/>
                <c:pt idx="0">
                  <c:v>8</c:v>
                </c:pt>
                <c:pt idx="1">
                  <c:v>9</c:v>
                </c:pt>
                <c:pt idx="2">
                  <c:v>11</c:v>
                </c:pt>
                <c:pt idx="3">
                  <c:v>13</c:v>
                </c:pt>
                <c:pt idx="4">
                  <c:v>16</c:v>
                </c:pt>
                <c:pt idx="5">
                  <c:v>14</c:v>
                </c:pt>
                <c:pt idx="6">
                  <c:v>26</c:v>
                </c:pt>
                <c:pt idx="7">
                  <c:v>26</c:v>
                </c:pt>
                <c:pt idx="8">
                  <c:v>40</c:v>
                </c:pt>
                <c:pt idx="9">
                  <c:v>49</c:v>
                </c:pt>
                <c:pt idx="10">
                  <c:v>48</c:v>
                </c:pt>
                <c:pt idx="11">
                  <c:v>69</c:v>
                </c:pt>
                <c:pt idx="12">
                  <c:v>60</c:v>
                </c:pt>
                <c:pt idx="13">
                  <c:v>70</c:v>
                </c:pt>
                <c:pt idx="14">
                  <c:v>61</c:v>
                </c:pt>
                <c:pt idx="15">
                  <c:v>58</c:v>
                </c:pt>
                <c:pt idx="16">
                  <c:v>78</c:v>
                </c:pt>
                <c:pt idx="17">
                  <c:v>78</c:v>
                </c:pt>
                <c:pt idx="18">
                  <c:v>70</c:v>
                </c:pt>
                <c:pt idx="19">
                  <c:v>50</c:v>
                </c:pt>
                <c:pt idx="20">
                  <c:v>58</c:v>
                </c:pt>
                <c:pt idx="21">
                  <c:v>44</c:v>
                </c:pt>
                <c:pt idx="22">
                  <c:v>57</c:v>
                </c:pt>
                <c:pt idx="23">
                  <c:v>40</c:v>
                </c:pt>
                <c:pt idx="24">
                  <c:v>46</c:v>
                </c:pt>
                <c:pt idx="25">
                  <c:v>32</c:v>
                </c:pt>
                <c:pt idx="26">
                  <c:v>33</c:v>
                </c:pt>
                <c:pt idx="27">
                  <c:v>41</c:v>
                </c:pt>
                <c:pt idx="28">
                  <c:v>33</c:v>
                </c:pt>
                <c:pt idx="29">
                  <c:v>24</c:v>
                </c:pt>
                <c:pt idx="30">
                  <c:v>19</c:v>
                </c:pt>
                <c:pt idx="31">
                  <c:v>25</c:v>
                </c:pt>
                <c:pt idx="32">
                  <c:v>31</c:v>
                </c:pt>
                <c:pt idx="33">
                  <c:v>19</c:v>
                </c:pt>
                <c:pt idx="34">
                  <c:v>18</c:v>
                </c:pt>
                <c:pt idx="35">
                  <c:v>19</c:v>
                </c:pt>
                <c:pt idx="36">
                  <c:v>18</c:v>
                </c:pt>
                <c:pt idx="37">
                  <c:v>22</c:v>
                </c:pt>
                <c:pt idx="38">
                  <c:v>14</c:v>
                </c:pt>
                <c:pt idx="39">
                  <c:v>4</c:v>
                </c:pt>
                <c:pt idx="40">
                  <c:v>14</c:v>
                </c:pt>
                <c:pt idx="41">
                  <c:v>10</c:v>
                </c:pt>
                <c:pt idx="42">
                  <c:v>5</c:v>
                </c:pt>
              </c:numCache>
            </c:numRef>
          </c:val>
          <c:extLst>
            <c:ext xmlns:c16="http://schemas.microsoft.com/office/drawing/2014/chart" uri="{C3380CC4-5D6E-409C-BE32-E72D297353CC}">
              <c16:uniqueId val="{00000000-1916-4AAA-BAEE-ED6CD6A135D0}"/>
            </c:ext>
          </c:extLst>
        </c:ser>
        <c:dLbls>
          <c:dLblPos val="outEnd"/>
          <c:showLegendKey val="0"/>
          <c:showVal val="1"/>
          <c:showCatName val="0"/>
          <c:showSerName val="0"/>
          <c:showPercent val="0"/>
          <c:showBubbleSize val="0"/>
        </c:dLbls>
        <c:gapWidth val="100"/>
        <c:axId val="1966192992"/>
        <c:axId val="1636317760"/>
      </c:barChart>
      <c:catAx>
        <c:axId val="196619299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6317760"/>
        <c:crosses val="autoZero"/>
        <c:auto val="1"/>
        <c:lblAlgn val="ctr"/>
        <c:lblOffset val="100"/>
        <c:noMultiLvlLbl val="0"/>
      </c:catAx>
      <c:valAx>
        <c:axId val="1636317760"/>
        <c:scaling>
          <c:orientation val="minMax"/>
        </c:scaling>
        <c:delete val="0"/>
        <c:axPos val="b"/>
        <c:numFmt formatCode="_(* #,##0_);_(* \(#,##0\);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61929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[Book1 - Copy(AutoRecovered).xlsm]Pivot Table!Emp_AgeGroup_Attr</c:name>
    <c:fmtId val="12"/>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7.7473485672369211E-2"/>
          <c:y val="2.7844155844155845E-2"/>
          <c:w val="0.87413462835435995"/>
          <c:h val="0.82313447182738519"/>
        </c:manualLayout>
      </c:layout>
      <c:bar3DChart>
        <c:barDir val="col"/>
        <c:grouping val="clustered"/>
        <c:varyColors val="0"/>
        <c:ser>
          <c:idx val="0"/>
          <c:order val="0"/>
          <c:tx>
            <c:strRef>
              <c:f>'Pivot Table'!$AI$1</c:f>
              <c:strCache>
                <c:ptCount val="1"/>
                <c:pt idx="0">
                  <c:v>Total</c:v>
                </c:pt>
              </c:strCache>
            </c:strRef>
          </c:tx>
          <c:spPr>
            <a:solidFill>
              <a:schemeClr val="accent1"/>
            </a:solidFill>
            <a:ln>
              <a:noFill/>
            </a:ln>
            <a:effectLst/>
            <a:sp3d/>
          </c:spPr>
          <c:invertIfNegative val="0"/>
          <c:cat>
            <c:strRef>
              <c:f>'Pivot Table'!$AH$2:$AH$41</c:f>
              <c:strCache>
                <c:ptCount val="39"/>
                <c:pt idx="0">
                  <c:v>18</c:v>
                </c:pt>
                <c:pt idx="1">
                  <c:v>19</c:v>
                </c:pt>
                <c:pt idx="2">
                  <c:v>20</c:v>
                </c:pt>
                <c:pt idx="3">
                  <c:v>21</c:v>
                </c:pt>
                <c:pt idx="4">
                  <c:v>22</c:v>
                </c:pt>
                <c:pt idx="5">
                  <c:v>23</c:v>
                </c:pt>
                <c:pt idx="6">
                  <c:v>24</c:v>
                </c:pt>
                <c:pt idx="7">
                  <c:v>25</c:v>
                </c:pt>
                <c:pt idx="8">
                  <c:v>26</c:v>
                </c:pt>
                <c:pt idx="9">
                  <c:v>27</c:v>
                </c:pt>
                <c:pt idx="10">
                  <c:v>28</c:v>
                </c:pt>
                <c:pt idx="11">
                  <c:v>29</c:v>
                </c:pt>
                <c:pt idx="12">
                  <c:v>30</c:v>
                </c:pt>
                <c:pt idx="13">
                  <c:v>31</c:v>
                </c:pt>
                <c:pt idx="14">
                  <c:v>32</c:v>
                </c:pt>
                <c:pt idx="15">
                  <c:v>33</c:v>
                </c:pt>
                <c:pt idx="16">
                  <c:v>34</c:v>
                </c:pt>
                <c:pt idx="17">
                  <c:v>35</c:v>
                </c:pt>
                <c:pt idx="18">
                  <c:v>36</c:v>
                </c:pt>
                <c:pt idx="19">
                  <c:v>37</c:v>
                </c:pt>
                <c:pt idx="20">
                  <c:v>38</c:v>
                </c:pt>
                <c:pt idx="21">
                  <c:v>39</c:v>
                </c:pt>
                <c:pt idx="22">
                  <c:v>40</c:v>
                </c:pt>
                <c:pt idx="23">
                  <c:v>41</c:v>
                </c:pt>
                <c:pt idx="24">
                  <c:v>42</c:v>
                </c:pt>
                <c:pt idx="25">
                  <c:v>43</c:v>
                </c:pt>
                <c:pt idx="26">
                  <c:v>44</c:v>
                </c:pt>
                <c:pt idx="27">
                  <c:v>45</c:v>
                </c:pt>
                <c:pt idx="28">
                  <c:v>46</c:v>
                </c:pt>
                <c:pt idx="29">
                  <c:v>47</c:v>
                </c:pt>
                <c:pt idx="30">
                  <c:v>48</c:v>
                </c:pt>
                <c:pt idx="31">
                  <c:v>49</c:v>
                </c:pt>
                <c:pt idx="32">
                  <c:v>50</c:v>
                </c:pt>
                <c:pt idx="33">
                  <c:v>51</c:v>
                </c:pt>
                <c:pt idx="34">
                  <c:v>52</c:v>
                </c:pt>
                <c:pt idx="35">
                  <c:v>53</c:v>
                </c:pt>
                <c:pt idx="36">
                  <c:v>55</c:v>
                </c:pt>
                <c:pt idx="37">
                  <c:v>56</c:v>
                </c:pt>
                <c:pt idx="38">
                  <c:v>58</c:v>
                </c:pt>
              </c:strCache>
            </c:strRef>
          </c:cat>
          <c:val>
            <c:numRef>
              <c:f>'Pivot Table'!$AI$2:$AI$41</c:f>
              <c:numCache>
                <c:formatCode>0%</c:formatCode>
                <c:ptCount val="39"/>
                <c:pt idx="0">
                  <c:v>0.5</c:v>
                </c:pt>
                <c:pt idx="1">
                  <c:v>0.66666666666666663</c:v>
                </c:pt>
                <c:pt idx="2">
                  <c:v>0.54545454545454541</c:v>
                </c:pt>
                <c:pt idx="3">
                  <c:v>0.46153846153846156</c:v>
                </c:pt>
                <c:pt idx="4">
                  <c:v>0.3125</c:v>
                </c:pt>
                <c:pt idx="5">
                  <c:v>0.2857142857142857</c:v>
                </c:pt>
                <c:pt idx="6">
                  <c:v>0.26923076923076922</c:v>
                </c:pt>
                <c:pt idx="7">
                  <c:v>0.23076923076923078</c:v>
                </c:pt>
                <c:pt idx="8">
                  <c:v>0.3</c:v>
                </c:pt>
                <c:pt idx="9">
                  <c:v>6.1224489795918366E-2</c:v>
                </c:pt>
                <c:pt idx="10">
                  <c:v>0.29166666666666669</c:v>
                </c:pt>
                <c:pt idx="11">
                  <c:v>0.2608695652173913</c:v>
                </c:pt>
                <c:pt idx="12">
                  <c:v>0.15</c:v>
                </c:pt>
                <c:pt idx="13">
                  <c:v>0.25714285714285712</c:v>
                </c:pt>
                <c:pt idx="14">
                  <c:v>0.18032786885245902</c:v>
                </c:pt>
                <c:pt idx="15">
                  <c:v>0.20689655172413793</c:v>
                </c:pt>
                <c:pt idx="16">
                  <c:v>0.11538461538461539</c:v>
                </c:pt>
                <c:pt idx="17">
                  <c:v>0.12820512820512819</c:v>
                </c:pt>
                <c:pt idx="18">
                  <c:v>8.5714285714285715E-2</c:v>
                </c:pt>
                <c:pt idx="19">
                  <c:v>0.12</c:v>
                </c:pt>
                <c:pt idx="20">
                  <c:v>3.4482758620689655E-2</c:v>
                </c:pt>
                <c:pt idx="21">
                  <c:v>0.13636363636363635</c:v>
                </c:pt>
                <c:pt idx="22">
                  <c:v>8.771929824561403E-2</c:v>
                </c:pt>
                <c:pt idx="23">
                  <c:v>0.15</c:v>
                </c:pt>
                <c:pt idx="24">
                  <c:v>4.3478260869565216E-2</c:v>
                </c:pt>
                <c:pt idx="25">
                  <c:v>6.25E-2</c:v>
                </c:pt>
                <c:pt idx="26">
                  <c:v>0.18181818181818182</c:v>
                </c:pt>
                <c:pt idx="27">
                  <c:v>4.878048780487805E-2</c:v>
                </c:pt>
                <c:pt idx="28">
                  <c:v>0.12121212121212122</c:v>
                </c:pt>
                <c:pt idx="29">
                  <c:v>0.125</c:v>
                </c:pt>
                <c:pt idx="30">
                  <c:v>0.10526315789473684</c:v>
                </c:pt>
                <c:pt idx="31">
                  <c:v>0.08</c:v>
                </c:pt>
                <c:pt idx="32">
                  <c:v>0.19354838709677419</c:v>
                </c:pt>
                <c:pt idx="33">
                  <c:v>0.10526315789473684</c:v>
                </c:pt>
                <c:pt idx="34">
                  <c:v>0.16666666666666666</c:v>
                </c:pt>
                <c:pt idx="35">
                  <c:v>0.10526315789473684</c:v>
                </c:pt>
                <c:pt idx="36">
                  <c:v>0.13636363636363635</c:v>
                </c:pt>
                <c:pt idx="37">
                  <c:v>0.21428571428571427</c:v>
                </c:pt>
                <c:pt idx="38">
                  <c:v>0.35714285714285715</c:v>
                </c:pt>
              </c:numCache>
            </c:numRef>
          </c:val>
          <c:extLst>
            <c:ext xmlns:c16="http://schemas.microsoft.com/office/drawing/2014/chart" uri="{C3380CC4-5D6E-409C-BE32-E72D297353CC}">
              <c16:uniqueId val="{00000000-3EB0-4093-B347-32A894255CE0}"/>
            </c:ext>
          </c:extLst>
        </c:ser>
        <c:dLbls>
          <c:showLegendKey val="0"/>
          <c:showVal val="0"/>
          <c:showCatName val="0"/>
          <c:showSerName val="0"/>
          <c:showPercent val="0"/>
          <c:showBubbleSize val="0"/>
        </c:dLbls>
        <c:gapWidth val="150"/>
        <c:shape val="box"/>
        <c:axId val="1831227056"/>
        <c:axId val="1831221296"/>
        <c:axId val="0"/>
      </c:bar3DChart>
      <c:catAx>
        <c:axId val="183122705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1221296"/>
        <c:crosses val="autoZero"/>
        <c:auto val="1"/>
        <c:lblAlgn val="ctr"/>
        <c:lblOffset val="100"/>
        <c:noMultiLvlLbl val="0"/>
      </c:catAx>
      <c:valAx>
        <c:axId val="1831221296"/>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12270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[Book1 - Copy(AutoRecovered).xlsm]Pivot Table!Emp_JobLevel_Income</c:name>
    <c:fmtId val="6"/>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809139977721365"/>
          <c:y val="0.2572178477690289"/>
          <c:w val="0.82333543689552469"/>
          <c:h val="0.65923301254009914"/>
        </c:manualLayout>
      </c:layout>
      <c:lineChart>
        <c:grouping val="standard"/>
        <c:varyColors val="0"/>
        <c:ser>
          <c:idx val="0"/>
          <c:order val="0"/>
          <c:tx>
            <c:strRef>
              <c:f>'Pivot Table'!$AL$1</c:f>
              <c:strCache>
                <c:ptCount val="1"/>
                <c:pt idx="0">
                  <c:v>Total</c:v>
                </c:pt>
              </c:strCache>
            </c:strRef>
          </c:tx>
          <c:spPr>
            <a:ln w="28575" cap="rnd">
              <a:solidFill>
                <a:schemeClr val="accent1"/>
              </a:solidFill>
              <a:round/>
            </a:ln>
            <a:effectLst/>
          </c:spPr>
          <c:marker>
            <c:symbol val="none"/>
          </c:marker>
          <c:cat>
            <c:strRef>
              <c:f>'Pivot Table'!$AK$2:$AK$7</c:f>
              <c:strCache>
                <c:ptCount val="5"/>
                <c:pt idx="0">
                  <c:v>1</c:v>
                </c:pt>
                <c:pt idx="1">
                  <c:v>2</c:v>
                </c:pt>
                <c:pt idx="2">
                  <c:v>3</c:v>
                </c:pt>
                <c:pt idx="3">
                  <c:v>4</c:v>
                </c:pt>
                <c:pt idx="4">
                  <c:v>5</c:v>
                </c:pt>
              </c:strCache>
            </c:strRef>
          </c:cat>
          <c:val>
            <c:numRef>
              <c:f>'Pivot Table'!$AL$2:$AL$7</c:f>
              <c:numCache>
                <c:formatCode>_(* #,##0_);_(* \(#,##0\);_(* "-"??_);_(@_)</c:formatCode>
                <c:ptCount val="5"/>
                <c:pt idx="0">
                  <c:v>2789.075229357798</c:v>
                </c:pt>
                <c:pt idx="1">
                  <c:v>5504.0055658627089</c:v>
                </c:pt>
                <c:pt idx="2">
                  <c:v>9822.7545454545452</c:v>
                </c:pt>
                <c:pt idx="3">
                  <c:v>15471.327102803738</c:v>
                </c:pt>
                <c:pt idx="4">
                  <c:v>19191.82608695652</c:v>
                </c:pt>
              </c:numCache>
            </c:numRef>
          </c:val>
          <c:smooth val="0"/>
          <c:extLst>
            <c:ext xmlns:c16="http://schemas.microsoft.com/office/drawing/2014/chart" uri="{C3380CC4-5D6E-409C-BE32-E72D297353CC}">
              <c16:uniqueId val="{00000000-3EC5-440D-94DA-019B56261E44}"/>
            </c:ext>
          </c:extLst>
        </c:ser>
        <c:dLbls>
          <c:showLegendKey val="0"/>
          <c:showVal val="0"/>
          <c:showCatName val="0"/>
          <c:showSerName val="0"/>
          <c:showPercent val="0"/>
          <c:showBubbleSize val="0"/>
        </c:dLbls>
        <c:smooth val="0"/>
        <c:axId val="1636315360"/>
        <c:axId val="1636316320"/>
      </c:lineChart>
      <c:catAx>
        <c:axId val="1636315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6316320"/>
        <c:crosses val="autoZero"/>
        <c:auto val="1"/>
        <c:lblAlgn val="ctr"/>
        <c:lblOffset val="100"/>
        <c:noMultiLvlLbl val="0"/>
      </c:catAx>
      <c:valAx>
        <c:axId val="1636316320"/>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63153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[Book1 - Copy(AutoRecovered).xlsm]Pivot Table!Emp_Gender_Count</c:name>
    <c:fmtId val="6"/>
  </c:pivotSource>
  <c:chart>
    <c:autoTitleDeleted val="1"/>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dLbl>
          <c:idx val="0"/>
          <c:layout>
            <c:manualLayout>
              <c:x val="8.8888888888888892E-2"/>
              <c:y val="-8.33333333333333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2"/>
          </a:solidFill>
          <a:ln w="19050">
            <a:solidFill>
              <a:schemeClr val="lt1"/>
            </a:solidFill>
          </a:ln>
          <a:effectLst/>
        </c:spPr>
        <c:dLbl>
          <c:idx val="0"/>
          <c:layout>
            <c:manualLayout>
              <c:x val="-0.1"/>
              <c:y val="6.944444444444444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1"/>
          </a:solidFill>
          <a:ln w="19050">
            <a:solidFill>
              <a:schemeClr val="lt1"/>
            </a:solidFill>
          </a:ln>
          <a:effectLst/>
        </c:spPr>
        <c:dLbl>
          <c:idx val="0"/>
          <c:layout>
            <c:manualLayout>
              <c:x val="8.8888888888888892E-2"/>
              <c:y val="-8.33333333333333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w="19050">
            <a:solidFill>
              <a:schemeClr val="lt1"/>
            </a:solidFill>
          </a:ln>
          <a:effectLst/>
        </c:spPr>
        <c:dLbl>
          <c:idx val="0"/>
          <c:layout>
            <c:manualLayout>
              <c:x val="-0.1"/>
              <c:y val="6.944444444444444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w="19050">
            <a:solidFill>
              <a:schemeClr val="lt1"/>
            </a:solidFill>
          </a:ln>
          <a:effectLst/>
        </c:spPr>
        <c:dLbl>
          <c:idx val="0"/>
          <c:layout>
            <c:manualLayout>
              <c:x val="8.8888888888888892E-2"/>
              <c:y val="-8.33333333333333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w="19050">
            <a:solidFill>
              <a:schemeClr val="lt1"/>
            </a:solidFill>
          </a:ln>
          <a:effectLst/>
        </c:spPr>
        <c:dLbl>
          <c:idx val="0"/>
          <c:layout>
            <c:manualLayout>
              <c:x val="-0.1"/>
              <c:y val="6.944444444444444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1"/>
          </a:solidFill>
          <a:ln w="19050">
            <a:solidFill>
              <a:schemeClr val="lt1"/>
            </a:solidFill>
          </a:ln>
          <a:effectLst/>
        </c:spPr>
        <c:dLbl>
          <c:idx val="0"/>
          <c:layout>
            <c:manualLayout>
              <c:x val="8.8888888888888892E-2"/>
              <c:y val="-8.33333333333333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1"/>
          </a:solidFill>
          <a:ln w="19050">
            <a:solidFill>
              <a:schemeClr val="lt1"/>
            </a:solidFill>
          </a:ln>
          <a:effectLst/>
        </c:spPr>
        <c:dLbl>
          <c:idx val="0"/>
          <c:layout>
            <c:manualLayout>
              <c:x val="-0.1"/>
              <c:y val="6.944444444444444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1"/>
          </a:solidFill>
          <a:ln w="19050">
            <a:solidFill>
              <a:schemeClr val="lt1"/>
            </a:solidFill>
          </a:ln>
          <a:effectLst/>
        </c:spPr>
        <c:dLbl>
          <c:idx val="0"/>
          <c:layout>
            <c:manualLayout>
              <c:x val="8.8888888888888892E-2"/>
              <c:y val="-8.33333333333333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1"/>
          </a:solidFill>
          <a:ln w="19050">
            <a:solidFill>
              <a:schemeClr val="lt1"/>
            </a:solidFill>
          </a:ln>
          <a:effectLst/>
        </c:spPr>
        <c:dLbl>
          <c:idx val="0"/>
          <c:layout>
            <c:manualLayout>
              <c:x val="-0.1"/>
              <c:y val="6.944444444444444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doughnutChart>
        <c:varyColors val="1"/>
        <c:ser>
          <c:idx val="0"/>
          <c:order val="0"/>
          <c:tx>
            <c:strRef>
              <c:f>'Pivot Table'!$AO$1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EB0-46E6-BC1A-89B2EC73D66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EB0-46E6-BC1A-89B2EC73D661}"/>
              </c:ext>
            </c:extLst>
          </c:dPt>
          <c:dLbls>
            <c:dLbl>
              <c:idx val="0"/>
              <c:layout>
                <c:manualLayout>
                  <c:x val="8.8888888888888892E-2"/>
                  <c:y val="-8.333333333333337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9EB0-46E6-BC1A-89B2EC73D661}"/>
                </c:ext>
              </c:extLst>
            </c:dLbl>
            <c:dLbl>
              <c:idx val="1"/>
              <c:layout>
                <c:manualLayout>
                  <c:x val="-0.1"/>
                  <c:y val="6.944444444444444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9EB0-46E6-BC1A-89B2EC73D661}"/>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Table'!$AN$2:$AN$4</c:f>
              <c:strCache>
                <c:ptCount val="2"/>
                <c:pt idx="0">
                  <c:v>Female</c:v>
                </c:pt>
                <c:pt idx="1">
                  <c:v>Male</c:v>
                </c:pt>
              </c:strCache>
            </c:strRef>
          </c:cat>
          <c:val>
            <c:numRef>
              <c:f>'Pivot Table'!$AO$2:$AO$4</c:f>
              <c:numCache>
                <c:formatCode>0.00</c:formatCode>
                <c:ptCount val="2"/>
                <c:pt idx="0">
                  <c:v>591</c:v>
                </c:pt>
                <c:pt idx="1">
                  <c:v>889</c:v>
                </c:pt>
              </c:numCache>
            </c:numRef>
          </c:val>
          <c:extLst>
            <c:ext xmlns:c16="http://schemas.microsoft.com/office/drawing/2014/chart" uri="{C3380CC4-5D6E-409C-BE32-E72D297353CC}">
              <c16:uniqueId val="{00000004-9EB0-46E6-BC1A-89B2EC73D661}"/>
            </c:ext>
          </c:extLst>
        </c:ser>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
    <cx:plotArea>
      <cx:plotAreaRegion/>
    </cx:plotArea>
  </cx:chart>
  <cx:spPr>
    <a:noFill/>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plotArea>
      <cx:plotAreaRegion>
        <cx:series layoutId="treemap" uniqueId="{7D445BFA-AFDE-4C36-8978-B6C6952CA634}">
          <cx:dataLabels pos="inEnd">
            <cx:txPr>
              <a:bodyPr spcFirstLastPara="1" vertOverflow="ellipsis" horzOverflow="overflow" wrap="square" lIns="0" tIns="0" rIns="0" bIns="0" anchor="ctr" anchorCtr="1"/>
              <a:lstStyle/>
              <a:p>
                <a:pPr algn="ctr" rtl="0">
                  <a:defRPr/>
                </a:pPr>
                <a:endParaRPr lang="en-US" sz="900" b="0" i="0" u="none" strike="noStrike" baseline="0">
                  <a:solidFill>
                    <a:sysClr val="window" lastClr="FFFFFF"/>
                  </a:solidFill>
                  <a:latin typeface="Century Gothic" panose="020B0502020202020204"/>
                </a:endParaRPr>
              </a:p>
            </cx:txPr>
            <cx:visibility seriesName="0" categoryName="1" value="1"/>
            <cx:separator>
</cx:separator>
          </cx:dataLabels>
          <cx:dataId val="0"/>
          <cx:layoutPr>
            <cx:parentLabelLayout val="overlapping"/>
          </cx:layoutPr>
        </cx:series>
      </cx:plotAreaRegion>
    </cx:plotArea>
  </cx:chart>
  <cx:spPr>
    <a:no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0.png"/><Relationship Id="rId3" Type="http://schemas.openxmlformats.org/officeDocument/2006/relationships/hyperlink" Target="#Employee!A1"/><Relationship Id="rId7" Type="http://schemas.openxmlformats.org/officeDocument/2006/relationships/image" Target="../media/image6.png"/><Relationship Id="rId12" Type="http://schemas.openxmlformats.org/officeDocument/2006/relationships/chart" Target="../charts/chart3.xml"/><Relationship Id="rId2" Type="http://schemas.openxmlformats.org/officeDocument/2006/relationships/hyperlink" Target="#Department!A1"/><Relationship Id="rId1" Type="http://schemas.openxmlformats.org/officeDocument/2006/relationships/hyperlink" Target="#Dashboard!A1"/><Relationship Id="rId6" Type="http://schemas.openxmlformats.org/officeDocument/2006/relationships/image" Target="../media/image5.png"/><Relationship Id="rId11" Type="http://schemas.openxmlformats.org/officeDocument/2006/relationships/chart" Target="../charts/chart2.xml"/><Relationship Id="rId5" Type="http://schemas.openxmlformats.org/officeDocument/2006/relationships/image" Target="../media/image4.png"/><Relationship Id="rId15" Type="http://schemas.microsoft.com/office/2014/relationships/chartEx" Target="../charts/chartEx2.xml"/><Relationship Id="rId10" Type="http://schemas.openxmlformats.org/officeDocument/2006/relationships/image" Target="../media/image9.png"/><Relationship Id="rId4" Type="http://schemas.openxmlformats.org/officeDocument/2006/relationships/hyperlink" Target="#Overview!A1"/><Relationship Id="rId9" Type="http://schemas.openxmlformats.org/officeDocument/2006/relationships/image" Target="../media/image8.png"/><Relationship Id="rId14" Type="http://schemas.microsoft.com/office/2014/relationships/chartEx" Target="../charts/chartEx1.xml"/></Relationships>
</file>

<file path=xl/drawings/_rels/drawing4.xml.rels><?xml version="1.0" encoding="UTF-8" standalone="yes"?>
<Relationships xmlns="http://schemas.openxmlformats.org/package/2006/relationships"><Relationship Id="rId8" Type="http://schemas.openxmlformats.org/officeDocument/2006/relationships/chart" Target="../charts/chart4.xml"/><Relationship Id="rId13" Type="http://schemas.openxmlformats.org/officeDocument/2006/relationships/image" Target="../media/image7.png"/><Relationship Id="rId3" Type="http://schemas.openxmlformats.org/officeDocument/2006/relationships/hyperlink" Target="#Employee!A1"/><Relationship Id="rId7" Type="http://schemas.openxmlformats.org/officeDocument/2006/relationships/image" Target="../media/image10.png"/><Relationship Id="rId12" Type="http://schemas.openxmlformats.org/officeDocument/2006/relationships/image" Target="../media/image11.png"/><Relationship Id="rId2" Type="http://schemas.openxmlformats.org/officeDocument/2006/relationships/hyperlink" Target="#Department!A1"/><Relationship Id="rId1" Type="http://schemas.openxmlformats.org/officeDocument/2006/relationships/hyperlink" Target="#Overview!A1"/><Relationship Id="rId6" Type="http://schemas.openxmlformats.org/officeDocument/2006/relationships/image" Target="../media/image6.png"/><Relationship Id="rId11" Type="http://schemas.openxmlformats.org/officeDocument/2006/relationships/chart" Target="../charts/chart7.xml"/><Relationship Id="rId5" Type="http://schemas.openxmlformats.org/officeDocument/2006/relationships/image" Target="../media/image5.png"/><Relationship Id="rId10" Type="http://schemas.openxmlformats.org/officeDocument/2006/relationships/chart" Target="../charts/chart6.xml"/><Relationship Id="rId4" Type="http://schemas.openxmlformats.org/officeDocument/2006/relationships/image" Target="../media/image4.png"/><Relationship Id="rId9" Type="http://schemas.openxmlformats.org/officeDocument/2006/relationships/chart" Target="../charts/chart5.xml"/><Relationship Id="rId14" Type="http://schemas.openxmlformats.org/officeDocument/2006/relationships/image" Target="../media/image8.png"/></Relationships>
</file>

<file path=xl/drawings/_rels/drawing5.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12.png"/><Relationship Id="rId3" Type="http://schemas.openxmlformats.org/officeDocument/2006/relationships/hyperlink" Target="#Employee!A1"/><Relationship Id="rId7" Type="http://schemas.openxmlformats.org/officeDocument/2006/relationships/image" Target="../media/image10.png"/><Relationship Id="rId12" Type="http://schemas.openxmlformats.org/officeDocument/2006/relationships/image" Target="../media/image11.png"/><Relationship Id="rId2" Type="http://schemas.openxmlformats.org/officeDocument/2006/relationships/hyperlink" Target="#Department!A1"/><Relationship Id="rId1" Type="http://schemas.openxmlformats.org/officeDocument/2006/relationships/hyperlink" Target="#Overview!A1"/><Relationship Id="rId6" Type="http://schemas.openxmlformats.org/officeDocument/2006/relationships/image" Target="../media/image6.png"/><Relationship Id="rId11" Type="http://schemas.openxmlformats.org/officeDocument/2006/relationships/chart" Target="../charts/chart11.xml"/><Relationship Id="rId5" Type="http://schemas.openxmlformats.org/officeDocument/2006/relationships/image" Target="../media/image5.png"/><Relationship Id="rId10" Type="http://schemas.openxmlformats.org/officeDocument/2006/relationships/chart" Target="../charts/chart10.xml"/><Relationship Id="rId4" Type="http://schemas.openxmlformats.org/officeDocument/2006/relationships/image" Target="../media/image4.png"/><Relationship Id="rId9" Type="http://schemas.openxmlformats.org/officeDocument/2006/relationships/chart" Target="../charts/chart9.xml"/><Relationship Id="rId14" Type="http://schemas.openxmlformats.org/officeDocument/2006/relationships/image" Target="../media/image13.png"/></Relationships>
</file>

<file path=xl/drawings/drawing1.xml><?xml version="1.0" encoding="utf-8"?>
<xdr:wsDr xmlns:xdr="http://schemas.openxmlformats.org/drawingml/2006/spreadsheetDrawing" xmlns:a="http://schemas.openxmlformats.org/drawingml/2006/main">
  <xdr:twoCellAnchor>
    <xdr:from>
      <xdr:col>6</xdr:col>
      <xdr:colOff>335280</xdr:colOff>
      <xdr:row>11</xdr:row>
      <xdr:rowOff>30480</xdr:rowOff>
    </xdr:from>
    <xdr:to>
      <xdr:col>31</xdr:col>
      <xdr:colOff>132080</xdr:colOff>
      <xdr:row>41</xdr:row>
      <xdr:rowOff>132080</xdr:rowOff>
    </xdr:to>
    <xdr:sp macro="" textlink="">
      <xdr:nvSpPr>
        <xdr:cNvPr id="15" name="Rectangle 14">
          <a:extLst>
            <a:ext uri="{FF2B5EF4-FFF2-40B4-BE49-F238E27FC236}">
              <a16:creationId xmlns:a16="http://schemas.microsoft.com/office/drawing/2014/main" id="{2A8FFB4D-0257-3BA7-454C-4392A11D9B27}"/>
            </a:ext>
          </a:extLst>
        </xdr:cNvPr>
        <xdr:cNvSpPr/>
      </xdr:nvSpPr>
      <xdr:spPr>
        <a:xfrm>
          <a:off x="3261360" y="1930400"/>
          <a:ext cx="11988800" cy="5283200"/>
        </a:xfrm>
        <a:prstGeom prst="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325120</xdr:colOff>
      <xdr:row>11</xdr:row>
      <xdr:rowOff>10160</xdr:rowOff>
    </xdr:from>
    <xdr:to>
      <xdr:col>31</xdr:col>
      <xdr:colOff>142240</xdr:colOff>
      <xdr:row>17</xdr:row>
      <xdr:rowOff>81280</xdr:rowOff>
    </xdr:to>
    <xdr:sp macro="" textlink="">
      <xdr:nvSpPr>
        <xdr:cNvPr id="16" name="Rectangle: Top Corners Rounded 15">
          <a:extLst>
            <a:ext uri="{FF2B5EF4-FFF2-40B4-BE49-F238E27FC236}">
              <a16:creationId xmlns:a16="http://schemas.microsoft.com/office/drawing/2014/main" id="{5C2B7BF0-A627-8E4E-91E4-FF850A8FF930}"/>
            </a:ext>
          </a:extLst>
        </xdr:cNvPr>
        <xdr:cNvSpPr/>
      </xdr:nvSpPr>
      <xdr:spPr>
        <a:xfrm rot="10800000">
          <a:off x="3251200" y="1910080"/>
          <a:ext cx="12009120" cy="1107440"/>
        </a:xfrm>
        <a:prstGeom prst="round2SameRect">
          <a:avLst/>
        </a:prstGeom>
        <a:solidFill>
          <a:srgbClr val="0E76B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6</xdr:col>
      <xdr:colOff>314960</xdr:colOff>
      <xdr:row>10</xdr:row>
      <xdr:rowOff>81280</xdr:rowOff>
    </xdr:from>
    <xdr:ext cx="184731" cy="265265"/>
    <xdr:sp macro="" textlink="">
      <xdr:nvSpPr>
        <xdr:cNvPr id="17" name="TextBox 16">
          <a:extLst>
            <a:ext uri="{FF2B5EF4-FFF2-40B4-BE49-F238E27FC236}">
              <a16:creationId xmlns:a16="http://schemas.microsoft.com/office/drawing/2014/main" id="{95412452-8FC0-1B6D-C9F5-A4869DF06F23}"/>
            </a:ext>
          </a:extLst>
        </xdr:cNvPr>
        <xdr:cNvSpPr txBox="1"/>
      </xdr:nvSpPr>
      <xdr:spPr>
        <a:xfrm>
          <a:off x="3241040" y="1808480"/>
          <a:ext cx="184731" cy="2652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13</xdr:col>
      <xdr:colOff>233680</xdr:colOff>
      <xdr:row>11</xdr:row>
      <xdr:rowOff>30587</xdr:rowOff>
    </xdr:from>
    <xdr:to>
      <xdr:col>16</xdr:col>
      <xdr:colOff>213360</xdr:colOff>
      <xdr:row>16</xdr:row>
      <xdr:rowOff>132080</xdr:rowOff>
    </xdr:to>
    <xdr:sp macro="" textlink="">
      <xdr:nvSpPr>
        <xdr:cNvPr id="18" name="Rectangle 17">
          <a:extLst>
            <a:ext uri="{FF2B5EF4-FFF2-40B4-BE49-F238E27FC236}">
              <a16:creationId xmlns:a16="http://schemas.microsoft.com/office/drawing/2014/main" id="{B33D2573-1589-BD94-20BE-FC39EC3D0D2E}"/>
            </a:ext>
          </a:extLst>
        </xdr:cNvPr>
        <xdr:cNvSpPr/>
      </xdr:nvSpPr>
      <xdr:spPr>
        <a:xfrm>
          <a:off x="6573520" y="1930507"/>
          <a:ext cx="1442720" cy="965093"/>
        </a:xfrm>
        <a:prstGeom prst="rect">
          <a:avLst/>
        </a:prstGeom>
        <a:solidFill>
          <a:schemeClr val="tx2"/>
        </a:solidFill>
        <a:ln>
          <a:noFill/>
        </a:ln>
        <a:effectLst/>
        <a:scene3d>
          <a:camera prst="orthographicFront"/>
          <a:lightRig rig="threePt" dir="t"/>
        </a:scene3d>
        <a:sp3d>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en-US" sz="1200" b="1">
              <a:solidFill>
                <a:schemeClr val="lt1"/>
              </a:solidFill>
              <a:latin typeface="+mn-lt"/>
              <a:ea typeface="+mn-ea"/>
              <a:cs typeface="+mn-cs"/>
            </a:rPr>
            <a:t>Overview</a:t>
          </a:r>
        </a:p>
      </xdr:txBody>
    </xdr:sp>
    <xdr:clientData/>
  </xdr:twoCellAnchor>
  <xdr:twoCellAnchor editAs="oneCell">
    <xdr:from>
      <xdr:col>14</xdr:col>
      <xdr:colOff>233680</xdr:colOff>
      <xdr:row>11</xdr:row>
      <xdr:rowOff>142240</xdr:rowOff>
    </xdr:from>
    <xdr:to>
      <xdr:col>15</xdr:col>
      <xdr:colOff>203200</xdr:colOff>
      <xdr:row>14</xdr:row>
      <xdr:rowOff>111760</xdr:rowOff>
    </xdr:to>
    <xdr:pic>
      <xdr:nvPicPr>
        <xdr:cNvPr id="20" name="Picture 19">
          <a:extLst>
            <a:ext uri="{FF2B5EF4-FFF2-40B4-BE49-F238E27FC236}">
              <a16:creationId xmlns:a16="http://schemas.microsoft.com/office/drawing/2014/main" id="{E51F8971-9DEC-7426-13BC-DF4987AA751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061200" y="2042160"/>
          <a:ext cx="457200" cy="487680"/>
        </a:xfrm>
        <a:prstGeom prst="rect">
          <a:avLst/>
        </a:prstGeom>
      </xdr:spPr>
    </xdr:pic>
    <xdr:clientData/>
  </xdr:twoCellAnchor>
  <xdr:twoCellAnchor>
    <xdr:from>
      <xdr:col>17</xdr:col>
      <xdr:colOff>223520</xdr:colOff>
      <xdr:row>11</xdr:row>
      <xdr:rowOff>30587</xdr:rowOff>
    </xdr:from>
    <xdr:to>
      <xdr:col>20</xdr:col>
      <xdr:colOff>274320</xdr:colOff>
      <xdr:row>16</xdr:row>
      <xdr:rowOff>101921</xdr:rowOff>
    </xdr:to>
    <xdr:sp macro="" textlink="">
      <xdr:nvSpPr>
        <xdr:cNvPr id="21" name="Rectangle 20">
          <a:extLst>
            <a:ext uri="{FF2B5EF4-FFF2-40B4-BE49-F238E27FC236}">
              <a16:creationId xmlns:a16="http://schemas.microsoft.com/office/drawing/2014/main" id="{187E4B8A-EEF9-4C90-88D0-BC462C60BE5F}"/>
            </a:ext>
          </a:extLst>
        </xdr:cNvPr>
        <xdr:cNvSpPr/>
      </xdr:nvSpPr>
      <xdr:spPr>
        <a:xfrm>
          <a:off x="8514080" y="1930507"/>
          <a:ext cx="1513840" cy="934934"/>
        </a:xfrm>
        <a:prstGeom prst="rect">
          <a:avLst/>
        </a:prstGeom>
        <a:solidFill>
          <a:srgbClr val="0E76B6"/>
        </a:solidFill>
        <a:ln>
          <a:noFill/>
        </a:ln>
        <a:effectLst/>
        <a:scene3d>
          <a:camera prst="orthographicFront"/>
          <a:lightRig rig="threePt" dir="t"/>
        </a:scene3d>
        <a:sp3d>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en-US" sz="1200" b="1">
              <a:solidFill>
                <a:schemeClr val="lt1"/>
              </a:solidFill>
              <a:latin typeface="+mn-lt"/>
              <a:ea typeface="+mn-ea"/>
              <a:cs typeface="+mn-cs"/>
            </a:rPr>
            <a:t>Department</a:t>
          </a:r>
        </a:p>
      </xdr:txBody>
    </xdr:sp>
    <xdr:clientData/>
  </xdr:twoCellAnchor>
  <xdr:twoCellAnchor>
    <xdr:from>
      <xdr:col>21</xdr:col>
      <xdr:colOff>284480</xdr:colOff>
      <xdr:row>11</xdr:row>
      <xdr:rowOff>30587</xdr:rowOff>
    </xdr:from>
    <xdr:to>
      <xdr:col>24</xdr:col>
      <xdr:colOff>264160</xdr:colOff>
      <xdr:row>16</xdr:row>
      <xdr:rowOff>122027</xdr:rowOff>
    </xdr:to>
    <xdr:sp macro="" textlink="">
      <xdr:nvSpPr>
        <xdr:cNvPr id="22" name="Rectangle 21">
          <a:extLst>
            <a:ext uri="{FF2B5EF4-FFF2-40B4-BE49-F238E27FC236}">
              <a16:creationId xmlns:a16="http://schemas.microsoft.com/office/drawing/2014/main" id="{8EE3B7A0-7F41-451C-9E8F-7B483DBE3CC3}"/>
            </a:ext>
          </a:extLst>
        </xdr:cNvPr>
        <xdr:cNvSpPr/>
      </xdr:nvSpPr>
      <xdr:spPr>
        <a:xfrm>
          <a:off x="10525760" y="1930507"/>
          <a:ext cx="1442720" cy="955040"/>
        </a:xfrm>
        <a:prstGeom prst="rect">
          <a:avLst/>
        </a:prstGeom>
        <a:solidFill>
          <a:srgbClr val="0E76B6"/>
        </a:solidFill>
        <a:ln>
          <a:noFill/>
        </a:ln>
        <a:effectLst/>
        <a:scene3d>
          <a:camera prst="orthographicFront"/>
          <a:lightRig rig="threePt" dir="t"/>
        </a:scene3d>
        <a:sp3d>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en-US" sz="1200" b="1">
              <a:solidFill>
                <a:schemeClr val="lt1"/>
              </a:solidFill>
              <a:latin typeface="+mn-lt"/>
              <a:ea typeface="+mn-ea"/>
              <a:cs typeface="+mn-cs"/>
            </a:rPr>
            <a:t>Employee</a:t>
          </a:r>
        </a:p>
      </xdr:txBody>
    </xdr:sp>
    <xdr:clientData/>
  </xdr:twoCellAnchor>
  <xdr:twoCellAnchor editAs="oneCell">
    <xdr:from>
      <xdr:col>18</xdr:col>
      <xdr:colOff>121920</xdr:colOff>
      <xdr:row>12</xdr:row>
      <xdr:rowOff>10160</xdr:rowOff>
    </xdr:from>
    <xdr:to>
      <xdr:col>19</xdr:col>
      <xdr:colOff>172720</xdr:colOff>
      <xdr:row>15</xdr:row>
      <xdr:rowOff>30480</xdr:rowOff>
    </xdr:to>
    <xdr:pic>
      <xdr:nvPicPr>
        <xdr:cNvPr id="24" name="Picture 23">
          <a:extLst>
            <a:ext uri="{FF2B5EF4-FFF2-40B4-BE49-F238E27FC236}">
              <a16:creationId xmlns:a16="http://schemas.microsoft.com/office/drawing/2014/main" id="{37C45F28-6F50-68E9-AD7F-1C765BC990C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900160" y="2082800"/>
          <a:ext cx="538480" cy="538480"/>
        </a:xfrm>
        <a:prstGeom prst="rect">
          <a:avLst/>
        </a:prstGeom>
      </xdr:spPr>
    </xdr:pic>
    <xdr:clientData/>
  </xdr:twoCellAnchor>
  <xdr:twoCellAnchor editAs="oneCell">
    <xdr:from>
      <xdr:col>22</xdr:col>
      <xdr:colOff>274321</xdr:colOff>
      <xdr:row>11</xdr:row>
      <xdr:rowOff>132081</xdr:rowOff>
    </xdr:from>
    <xdr:to>
      <xdr:col>23</xdr:col>
      <xdr:colOff>243841</xdr:colOff>
      <xdr:row>14</xdr:row>
      <xdr:rowOff>152401</xdr:rowOff>
    </xdr:to>
    <xdr:pic>
      <xdr:nvPicPr>
        <xdr:cNvPr id="26" name="Picture 25">
          <a:extLst>
            <a:ext uri="{FF2B5EF4-FFF2-40B4-BE49-F238E27FC236}">
              <a16:creationId xmlns:a16="http://schemas.microsoft.com/office/drawing/2014/main" id="{1884778F-CB76-9D96-ECF4-C63DDEC20B5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003281" y="2032001"/>
          <a:ext cx="457200" cy="538480"/>
        </a:xfrm>
        <a:prstGeom prst="rect">
          <a:avLst/>
        </a:prstGeom>
      </xdr:spPr>
    </xdr:pic>
    <xdr:clientData/>
  </xdr:twoCellAnchor>
  <xdr:twoCellAnchor>
    <xdr:from>
      <xdr:col>6</xdr:col>
      <xdr:colOff>355600</xdr:colOff>
      <xdr:row>16</xdr:row>
      <xdr:rowOff>111760</xdr:rowOff>
    </xdr:from>
    <xdr:to>
      <xdr:col>31</xdr:col>
      <xdr:colOff>121920</xdr:colOff>
      <xdr:row>17</xdr:row>
      <xdr:rowOff>111760</xdr:rowOff>
    </xdr:to>
    <xdr:sp macro="" textlink="">
      <xdr:nvSpPr>
        <xdr:cNvPr id="27" name="Rectangle 26">
          <a:extLst>
            <a:ext uri="{FF2B5EF4-FFF2-40B4-BE49-F238E27FC236}">
              <a16:creationId xmlns:a16="http://schemas.microsoft.com/office/drawing/2014/main" id="{E7D0CAFE-BC34-C8E7-10B3-AF95B146FDB2}"/>
            </a:ext>
          </a:extLst>
        </xdr:cNvPr>
        <xdr:cNvSpPr/>
      </xdr:nvSpPr>
      <xdr:spPr>
        <a:xfrm>
          <a:off x="3281680" y="2875280"/>
          <a:ext cx="11958320" cy="172720"/>
        </a:xfrm>
        <a:prstGeom prst="rect">
          <a:avLst/>
        </a:prstGeom>
        <a:solidFill>
          <a:schemeClr val="tx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406400</xdr:colOff>
      <xdr:row>18</xdr:row>
      <xdr:rowOff>101600</xdr:rowOff>
    </xdr:from>
    <xdr:to>
      <xdr:col>13</xdr:col>
      <xdr:colOff>81280</xdr:colOff>
      <xdr:row>41</xdr:row>
      <xdr:rowOff>50800</xdr:rowOff>
    </xdr:to>
    <xdr:sp macro="" textlink="">
      <xdr:nvSpPr>
        <xdr:cNvPr id="28" name="Rectangle 27">
          <a:extLst>
            <a:ext uri="{FF2B5EF4-FFF2-40B4-BE49-F238E27FC236}">
              <a16:creationId xmlns:a16="http://schemas.microsoft.com/office/drawing/2014/main" id="{FA08E13A-4AF0-7C3F-0A70-27D8A970101D}"/>
            </a:ext>
          </a:extLst>
        </xdr:cNvPr>
        <xdr:cNvSpPr/>
      </xdr:nvSpPr>
      <xdr:spPr>
        <a:xfrm>
          <a:off x="3332480" y="3210560"/>
          <a:ext cx="3088640" cy="3921760"/>
        </a:xfrm>
        <a:prstGeom prst="rect">
          <a:avLst/>
        </a:prstGeom>
        <a:solidFill>
          <a:schemeClr val="tx2">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t>Attration Rate by Job Position </a:t>
          </a:r>
        </a:p>
        <a:p>
          <a:pPr algn="ctr"/>
          <a:r>
            <a:rPr lang="en-US" sz="1100" b="1"/>
            <a:t>(Bar Chart)</a:t>
          </a:r>
        </a:p>
      </xdr:txBody>
    </xdr:sp>
    <xdr:clientData/>
  </xdr:twoCellAnchor>
  <xdr:twoCellAnchor>
    <xdr:from>
      <xdr:col>19</xdr:col>
      <xdr:colOff>193040</xdr:colOff>
      <xdr:row>18</xdr:row>
      <xdr:rowOff>71120</xdr:rowOff>
    </xdr:from>
    <xdr:to>
      <xdr:col>25</xdr:col>
      <xdr:colOff>152400</xdr:colOff>
      <xdr:row>41</xdr:row>
      <xdr:rowOff>20320</xdr:rowOff>
    </xdr:to>
    <xdr:sp macro="" textlink="">
      <xdr:nvSpPr>
        <xdr:cNvPr id="29" name="Rectangle 28">
          <a:extLst>
            <a:ext uri="{FF2B5EF4-FFF2-40B4-BE49-F238E27FC236}">
              <a16:creationId xmlns:a16="http://schemas.microsoft.com/office/drawing/2014/main" id="{E8F28721-F9FD-4F30-B3B4-2C0E9449A913}"/>
            </a:ext>
          </a:extLst>
        </xdr:cNvPr>
        <xdr:cNvSpPr/>
      </xdr:nvSpPr>
      <xdr:spPr>
        <a:xfrm>
          <a:off x="9458960" y="3180080"/>
          <a:ext cx="2885440" cy="3921760"/>
        </a:xfrm>
        <a:prstGeom prst="rect">
          <a:avLst/>
        </a:prstGeom>
        <a:solidFill>
          <a:schemeClr val="tx2">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t>Over Time Job Roles</a:t>
          </a:r>
        </a:p>
        <a:p>
          <a:pPr algn="ctr"/>
          <a:r>
            <a:rPr lang="en-US" sz="1100" b="1"/>
            <a:t>(Tree map )</a:t>
          </a:r>
        </a:p>
      </xdr:txBody>
    </xdr:sp>
    <xdr:clientData/>
  </xdr:twoCellAnchor>
  <xdr:twoCellAnchor>
    <xdr:from>
      <xdr:col>25</xdr:col>
      <xdr:colOff>243840</xdr:colOff>
      <xdr:row>28</xdr:row>
      <xdr:rowOff>111760</xdr:rowOff>
    </xdr:from>
    <xdr:to>
      <xdr:col>31</xdr:col>
      <xdr:colOff>71120</xdr:colOff>
      <xdr:row>41</xdr:row>
      <xdr:rowOff>20320</xdr:rowOff>
    </xdr:to>
    <xdr:sp macro="" textlink="">
      <xdr:nvSpPr>
        <xdr:cNvPr id="30" name="Rectangle 29">
          <a:extLst>
            <a:ext uri="{FF2B5EF4-FFF2-40B4-BE49-F238E27FC236}">
              <a16:creationId xmlns:a16="http://schemas.microsoft.com/office/drawing/2014/main" id="{2E595556-3AA4-4D92-BA93-A1EC8480F895}"/>
            </a:ext>
          </a:extLst>
        </xdr:cNvPr>
        <xdr:cNvSpPr/>
      </xdr:nvSpPr>
      <xdr:spPr>
        <a:xfrm>
          <a:off x="12435840" y="4947920"/>
          <a:ext cx="2753360" cy="2153920"/>
        </a:xfrm>
        <a:prstGeom prst="rect">
          <a:avLst/>
        </a:prstGeom>
        <a:solidFill>
          <a:schemeClr val="tx2">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solidFill>
                <a:schemeClr val="lt1"/>
              </a:solidFill>
              <a:effectLst/>
              <a:latin typeface="+mn-lt"/>
              <a:ea typeface="+mn-ea"/>
              <a:cs typeface="+mn-cs"/>
            </a:rPr>
            <a:t>Filters</a:t>
          </a:r>
          <a:endParaRPr lang="en-US" sz="1400"/>
        </a:p>
      </xdr:txBody>
    </xdr:sp>
    <xdr:clientData/>
  </xdr:twoCellAnchor>
  <xdr:twoCellAnchor>
    <xdr:from>
      <xdr:col>25</xdr:col>
      <xdr:colOff>254000</xdr:colOff>
      <xdr:row>18</xdr:row>
      <xdr:rowOff>71120</xdr:rowOff>
    </xdr:from>
    <xdr:to>
      <xdr:col>31</xdr:col>
      <xdr:colOff>71120</xdr:colOff>
      <xdr:row>28</xdr:row>
      <xdr:rowOff>30480</xdr:rowOff>
    </xdr:to>
    <xdr:sp macro="" textlink="">
      <xdr:nvSpPr>
        <xdr:cNvPr id="31" name="Rectangle 30">
          <a:extLst>
            <a:ext uri="{FF2B5EF4-FFF2-40B4-BE49-F238E27FC236}">
              <a16:creationId xmlns:a16="http://schemas.microsoft.com/office/drawing/2014/main" id="{170D5217-D432-438A-B80D-15934E990874}"/>
            </a:ext>
          </a:extLst>
        </xdr:cNvPr>
        <xdr:cNvSpPr/>
      </xdr:nvSpPr>
      <xdr:spPr>
        <a:xfrm>
          <a:off x="12446000" y="3180080"/>
          <a:ext cx="2743200" cy="1686560"/>
        </a:xfrm>
        <a:prstGeom prst="rect">
          <a:avLst/>
        </a:prstGeom>
        <a:solidFill>
          <a:schemeClr val="tx2">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t>Clear Filters</a:t>
          </a:r>
        </a:p>
      </xdr:txBody>
    </xdr:sp>
    <xdr:clientData/>
  </xdr:twoCellAnchor>
  <xdr:twoCellAnchor>
    <xdr:from>
      <xdr:col>13</xdr:col>
      <xdr:colOff>193040</xdr:colOff>
      <xdr:row>18</xdr:row>
      <xdr:rowOff>71120</xdr:rowOff>
    </xdr:from>
    <xdr:to>
      <xdr:col>19</xdr:col>
      <xdr:colOff>121920</xdr:colOff>
      <xdr:row>41</xdr:row>
      <xdr:rowOff>10160</xdr:rowOff>
    </xdr:to>
    <xdr:sp macro="" textlink="">
      <xdr:nvSpPr>
        <xdr:cNvPr id="32" name="Rectangle 31">
          <a:extLst>
            <a:ext uri="{FF2B5EF4-FFF2-40B4-BE49-F238E27FC236}">
              <a16:creationId xmlns:a16="http://schemas.microsoft.com/office/drawing/2014/main" id="{7727FF24-4911-4D20-A006-1749AC4F60F0}"/>
            </a:ext>
          </a:extLst>
        </xdr:cNvPr>
        <xdr:cNvSpPr/>
      </xdr:nvSpPr>
      <xdr:spPr>
        <a:xfrm>
          <a:off x="6532880" y="3180080"/>
          <a:ext cx="2854960" cy="3911600"/>
        </a:xfrm>
        <a:prstGeom prst="rect">
          <a:avLst/>
        </a:prstGeom>
        <a:solidFill>
          <a:schemeClr val="tx2">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t>Departments by Avg Income</a:t>
          </a:r>
          <a:r>
            <a:rPr lang="en-US" sz="950" b="1"/>
            <a:t> </a:t>
          </a:r>
        </a:p>
        <a:p>
          <a:pPr algn="ctr"/>
          <a:r>
            <a:rPr lang="en-US" sz="1100" b="1"/>
            <a:t>(DountChart</a:t>
          </a:r>
          <a:r>
            <a:rPr lang="en-US" sz="950" b="1"/>
            <a:t>)</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12</xdr:col>
      <xdr:colOff>502920</xdr:colOff>
      <xdr:row>19</xdr:row>
      <xdr:rowOff>15240</xdr:rowOff>
    </xdr:from>
    <xdr:to>
      <xdr:col>13</xdr:col>
      <xdr:colOff>1661160</xdr:colOff>
      <xdr:row>33</xdr:row>
      <xdr:rowOff>41275</xdr:rowOff>
    </xdr:to>
    <mc:AlternateContent xmlns:mc="http://schemas.openxmlformats.org/markup-compatibility/2006" xmlns:a14="http://schemas.microsoft.com/office/drawing/2010/main">
      <mc:Choice Requires="a14">
        <xdr:graphicFrame macro="">
          <xdr:nvGraphicFramePr>
            <xdr:cNvPr id="6" name="Department">
              <a:extLst>
                <a:ext uri="{FF2B5EF4-FFF2-40B4-BE49-F238E27FC236}">
                  <a16:creationId xmlns:a16="http://schemas.microsoft.com/office/drawing/2014/main" id="{F576DBFD-B27F-4B79-E699-55BAFD871C5C}"/>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1704320" y="3345180"/>
              <a:ext cx="1828800" cy="24796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434340</xdr:colOff>
      <xdr:row>6</xdr:row>
      <xdr:rowOff>167640</xdr:rowOff>
    </xdr:from>
    <xdr:to>
      <xdr:col>13</xdr:col>
      <xdr:colOff>1592580</xdr:colOff>
      <xdr:row>21</xdr:row>
      <xdr:rowOff>18415</xdr:rowOff>
    </xdr:to>
    <mc:AlternateContent xmlns:mc="http://schemas.openxmlformats.org/markup-compatibility/2006" xmlns:a14="http://schemas.microsoft.com/office/drawing/2010/main">
      <mc:Choice Requires="a14">
        <xdr:graphicFrame macro="">
          <xdr:nvGraphicFramePr>
            <xdr:cNvPr id="7" name="SalarySlab">
              <a:extLst>
                <a:ext uri="{FF2B5EF4-FFF2-40B4-BE49-F238E27FC236}">
                  <a16:creationId xmlns:a16="http://schemas.microsoft.com/office/drawing/2014/main" id="{DEA43648-A712-66E8-4CFB-EDCDB1D8F792}"/>
                </a:ext>
              </a:extLst>
            </xdr:cNvPr>
            <xdr:cNvGraphicFramePr/>
          </xdr:nvGraphicFramePr>
          <xdr:xfrm>
            <a:off x="0" y="0"/>
            <a:ext cx="0" cy="0"/>
          </xdr:xfrm>
          <a:graphic>
            <a:graphicData uri="http://schemas.microsoft.com/office/drawing/2010/slicer">
              <sle:slicer xmlns:sle="http://schemas.microsoft.com/office/drawing/2010/slicer" name="SalarySlab"/>
            </a:graphicData>
          </a:graphic>
        </xdr:graphicFrame>
      </mc:Choice>
      <mc:Fallback xmlns="">
        <xdr:sp macro="" textlink="">
          <xdr:nvSpPr>
            <xdr:cNvPr id="0" name=""/>
            <xdr:cNvSpPr>
              <a:spLocks noTextEdit="1"/>
            </xdr:cNvSpPr>
          </xdr:nvSpPr>
          <xdr:spPr>
            <a:xfrm>
              <a:off x="11635740" y="1219200"/>
              <a:ext cx="1828800" cy="24796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42</xdr:col>
      <xdr:colOff>0</xdr:colOff>
      <xdr:row>7</xdr:row>
      <xdr:rowOff>0</xdr:rowOff>
    </xdr:from>
    <xdr:to>
      <xdr:col>47</xdr:col>
      <xdr:colOff>358140</xdr:colOff>
      <xdr:row>27</xdr:row>
      <xdr:rowOff>135466</xdr:rowOff>
    </xdr:to>
    <xdr:graphicFrame macro="">
      <xdr:nvGraphicFramePr>
        <xdr:cNvPr id="13" name="Chart 12">
          <a:extLst>
            <a:ext uri="{FF2B5EF4-FFF2-40B4-BE49-F238E27FC236}">
              <a16:creationId xmlns:a16="http://schemas.microsoft.com/office/drawing/2014/main" id="{B5266366-DB85-4E75-9D0A-4C63652268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664877</xdr:colOff>
      <xdr:row>0</xdr:row>
      <xdr:rowOff>1</xdr:rowOff>
    </xdr:from>
    <xdr:to>
      <xdr:col>23</xdr:col>
      <xdr:colOff>58656</xdr:colOff>
      <xdr:row>30</xdr:row>
      <xdr:rowOff>107602</xdr:rowOff>
    </xdr:to>
    <xdr:sp macro="" textlink="">
      <xdr:nvSpPr>
        <xdr:cNvPr id="2" name="Rectangle 1">
          <a:extLst>
            <a:ext uri="{FF2B5EF4-FFF2-40B4-BE49-F238E27FC236}">
              <a16:creationId xmlns:a16="http://schemas.microsoft.com/office/drawing/2014/main" id="{CB9DA72C-47D0-4903-AC0C-F7608EDD9229}"/>
            </a:ext>
          </a:extLst>
        </xdr:cNvPr>
        <xdr:cNvSpPr/>
      </xdr:nvSpPr>
      <xdr:spPr>
        <a:xfrm>
          <a:off x="664877" y="1"/>
          <a:ext cx="14857897" cy="5486425"/>
        </a:xfrm>
        <a:prstGeom prst="rect">
          <a:avLst/>
        </a:prstGeom>
        <a:solidFill>
          <a:schemeClr val="accent1">
            <a:lumMod val="75000"/>
          </a:schemeClr>
        </a:solidFill>
        <a:effectLst>
          <a:outerShdw blurRad="50800" dist="38100" dir="18900000" algn="bl" rotWithShape="0">
            <a:schemeClr val="accent1">
              <a:lumMod val="60000"/>
              <a:lumOff val="40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664876</xdr:colOff>
      <xdr:row>0</xdr:row>
      <xdr:rowOff>0</xdr:rowOff>
    </xdr:from>
    <xdr:to>
      <xdr:col>23</xdr:col>
      <xdr:colOff>38062</xdr:colOff>
      <xdr:row>6</xdr:row>
      <xdr:rowOff>64478</xdr:rowOff>
    </xdr:to>
    <xdr:sp macro="" textlink="">
      <xdr:nvSpPr>
        <xdr:cNvPr id="3" name="Rectangle: Top Corners Rounded 2">
          <a:extLst>
            <a:ext uri="{FF2B5EF4-FFF2-40B4-BE49-F238E27FC236}">
              <a16:creationId xmlns:a16="http://schemas.microsoft.com/office/drawing/2014/main" id="{1EA35C74-4A2F-4FD7-9A38-675488CEA15D}"/>
            </a:ext>
          </a:extLst>
        </xdr:cNvPr>
        <xdr:cNvSpPr/>
      </xdr:nvSpPr>
      <xdr:spPr>
        <a:xfrm rot="10800000">
          <a:off x="664876" y="0"/>
          <a:ext cx="14837304" cy="1140243"/>
        </a:xfrm>
        <a:prstGeom prst="round2SameRect">
          <a:avLst/>
        </a:prstGeom>
        <a:solidFill>
          <a:srgbClr val="0E76B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664878</xdr:colOff>
      <xdr:row>5</xdr:row>
      <xdr:rowOff>95449</xdr:rowOff>
    </xdr:from>
    <xdr:to>
      <xdr:col>23</xdr:col>
      <xdr:colOff>79252</xdr:colOff>
      <xdr:row>6</xdr:row>
      <xdr:rowOff>132962</xdr:rowOff>
    </xdr:to>
    <xdr:sp macro="" textlink="">
      <xdr:nvSpPr>
        <xdr:cNvPr id="4" name="Rectangle 3">
          <a:extLst>
            <a:ext uri="{FF2B5EF4-FFF2-40B4-BE49-F238E27FC236}">
              <a16:creationId xmlns:a16="http://schemas.microsoft.com/office/drawing/2014/main" id="{F564CE02-0E4A-4632-A667-1A5546DF34D7}"/>
            </a:ext>
          </a:extLst>
        </xdr:cNvPr>
        <xdr:cNvSpPr/>
      </xdr:nvSpPr>
      <xdr:spPr>
        <a:xfrm>
          <a:off x="664878" y="991920"/>
          <a:ext cx="14878492" cy="216807"/>
        </a:xfrm>
        <a:prstGeom prst="rect">
          <a:avLst/>
        </a:prstGeom>
        <a:solidFill>
          <a:schemeClr val="tx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302878</xdr:colOff>
      <xdr:row>0</xdr:row>
      <xdr:rowOff>22319</xdr:rowOff>
    </xdr:from>
    <xdr:to>
      <xdr:col>9</xdr:col>
      <xdr:colOff>405215</xdr:colOff>
      <xdr:row>5</xdr:row>
      <xdr:rowOff>112665</xdr:rowOff>
    </xdr:to>
    <xdr:sp macro="" textlink="">
      <xdr:nvSpPr>
        <xdr:cNvPr id="5" name="Rectangle 4">
          <a:hlinkClick xmlns:r="http://schemas.openxmlformats.org/officeDocument/2006/relationships" r:id="rId1"/>
          <a:extLst>
            <a:ext uri="{FF2B5EF4-FFF2-40B4-BE49-F238E27FC236}">
              <a16:creationId xmlns:a16="http://schemas.microsoft.com/office/drawing/2014/main" id="{4545F12B-8FCB-49EA-A4F2-204CDAC72ABB}"/>
            </a:ext>
          </a:extLst>
        </xdr:cNvPr>
        <xdr:cNvSpPr/>
      </xdr:nvSpPr>
      <xdr:spPr>
        <a:xfrm>
          <a:off x="5009349" y="22319"/>
          <a:ext cx="1447042" cy="986817"/>
        </a:xfrm>
        <a:prstGeom prst="rect">
          <a:avLst/>
        </a:prstGeom>
        <a:solidFill>
          <a:schemeClr val="tx2">
            <a:lumMod val="75000"/>
          </a:schemeClr>
        </a:solidFill>
        <a:ln>
          <a:noFill/>
        </a:ln>
        <a:effectLst/>
        <a:scene3d>
          <a:camera prst="orthographicFront"/>
          <a:lightRig rig="threePt" dir="t"/>
        </a:scene3d>
        <a:sp3d>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200" b="1"/>
            <a:t>Overview</a:t>
          </a:r>
        </a:p>
      </xdr:txBody>
    </xdr:sp>
    <xdr:clientData/>
  </xdr:twoCellAnchor>
  <xdr:twoCellAnchor>
    <xdr:from>
      <xdr:col>10</xdr:col>
      <xdr:colOff>402704</xdr:colOff>
      <xdr:row>0</xdr:row>
      <xdr:rowOff>22319</xdr:rowOff>
    </xdr:from>
    <xdr:to>
      <xdr:col>13</xdr:col>
      <xdr:colOff>12146</xdr:colOff>
      <xdr:row>5</xdr:row>
      <xdr:rowOff>78511</xdr:rowOff>
    </xdr:to>
    <xdr:sp macro="" textlink="">
      <xdr:nvSpPr>
        <xdr:cNvPr id="6" name="Rectangle 5">
          <a:hlinkClick xmlns:r="http://schemas.openxmlformats.org/officeDocument/2006/relationships" r:id="rId2"/>
          <a:extLst>
            <a:ext uri="{FF2B5EF4-FFF2-40B4-BE49-F238E27FC236}">
              <a16:creationId xmlns:a16="http://schemas.microsoft.com/office/drawing/2014/main" id="{3E289145-5B7F-4C6E-8EBC-49C2F36E884C}"/>
            </a:ext>
          </a:extLst>
        </xdr:cNvPr>
        <xdr:cNvSpPr/>
      </xdr:nvSpPr>
      <xdr:spPr>
        <a:xfrm>
          <a:off x="7126233" y="22319"/>
          <a:ext cx="1626501" cy="952663"/>
        </a:xfrm>
        <a:prstGeom prst="rect">
          <a:avLst/>
        </a:prstGeom>
        <a:solidFill>
          <a:srgbClr val="0E76B6"/>
        </a:solidFill>
        <a:ln>
          <a:noFill/>
        </a:ln>
        <a:effectLst/>
        <a:scene3d>
          <a:camera prst="orthographicFront"/>
          <a:lightRig rig="threePt" dir="t"/>
        </a:scene3d>
        <a:sp3d>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en-US" sz="1200" b="1">
              <a:solidFill>
                <a:schemeClr val="lt1"/>
              </a:solidFill>
              <a:latin typeface="+mn-lt"/>
              <a:ea typeface="+mn-ea"/>
              <a:cs typeface="+mn-cs"/>
            </a:rPr>
            <a:t>Department</a:t>
          </a:r>
        </a:p>
      </xdr:txBody>
    </xdr:sp>
    <xdr:clientData/>
  </xdr:twoCellAnchor>
  <xdr:twoCellAnchor>
    <xdr:from>
      <xdr:col>13</xdr:col>
      <xdr:colOff>573490</xdr:colOff>
      <xdr:row>0</xdr:row>
      <xdr:rowOff>22319</xdr:rowOff>
    </xdr:from>
    <xdr:to>
      <xdr:col>16</xdr:col>
      <xdr:colOff>10745</xdr:colOff>
      <xdr:row>5</xdr:row>
      <xdr:rowOff>78511</xdr:rowOff>
    </xdr:to>
    <xdr:sp macro="" textlink="">
      <xdr:nvSpPr>
        <xdr:cNvPr id="7" name="Rectangle 6">
          <a:hlinkClick xmlns:r="http://schemas.openxmlformats.org/officeDocument/2006/relationships" r:id="rId3"/>
          <a:extLst>
            <a:ext uri="{FF2B5EF4-FFF2-40B4-BE49-F238E27FC236}">
              <a16:creationId xmlns:a16="http://schemas.microsoft.com/office/drawing/2014/main" id="{D543324C-DABD-401F-973F-596F572A7490}"/>
            </a:ext>
          </a:extLst>
        </xdr:cNvPr>
        <xdr:cNvSpPr/>
      </xdr:nvSpPr>
      <xdr:spPr>
        <a:xfrm>
          <a:off x="9314078" y="22319"/>
          <a:ext cx="1454314" cy="952663"/>
        </a:xfrm>
        <a:prstGeom prst="rect">
          <a:avLst/>
        </a:prstGeom>
        <a:solidFill>
          <a:srgbClr val="0E76B6"/>
        </a:solidFill>
        <a:ln>
          <a:noFill/>
        </a:ln>
        <a:effectLst/>
        <a:scene3d>
          <a:camera prst="orthographicFront"/>
          <a:lightRig rig="threePt" dir="t"/>
        </a:scene3d>
        <a:sp3d>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en-US" sz="1200" b="1">
              <a:solidFill>
                <a:schemeClr val="lt1"/>
              </a:solidFill>
              <a:latin typeface="+mn-lt"/>
              <a:ea typeface="+mn-ea"/>
              <a:cs typeface="+mn-cs"/>
            </a:rPr>
            <a:t>Employee</a:t>
          </a:r>
        </a:p>
      </xdr:txBody>
    </xdr:sp>
    <xdr:clientData/>
  </xdr:twoCellAnchor>
  <xdr:twoCellAnchor editAs="oneCell">
    <xdr:from>
      <xdr:col>8</xdr:col>
      <xdr:colOff>219089</xdr:colOff>
      <xdr:row>0</xdr:row>
      <xdr:rowOff>125764</xdr:rowOff>
    </xdr:from>
    <xdr:to>
      <xdr:col>9</xdr:col>
      <xdr:colOff>11051</xdr:colOff>
      <xdr:row>3</xdr:row>
      <xdr:rowOff>64762</xdr:rowOff>
    </xdr:to>
    <xdr:pic>
      <xdr:nvPicPr>
        <xdr:cNvPr id="8" name="Picture 7">
          <a:hlinkClick xmlns:r="http://schemas.openxmlformats.org/officeDocument/2006/relationships" r:id="rId4"/>
          <a:extLst>
            <a:ext uri="{FF2B5EF4-FFF2-40B4-BE49-F238E27FC236}">
              <a16:creationId xmlns:a16="http://schemas.microsoft.com/office/drawing/2014/main" id="{1A747F39-70F8-4D09-98AC-5D86111CCEB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597913" y="125764"/>
          <a:ext cx="464314" cy="476880"/>
        </a:xfrm>
        <a:prstGeom prst="rect">
          <a:avLst/>
        </a:prstGeom>
      </xdr:spPr>
    </xdr:pic>
    <xdr:clientData/>
  </xdr:twoCellAnchor>
  <xdr:twoCellAnchor editAs="oneCell">
    <xdr:from>
      <xdr:col>11</xdr:col>
      <xdr:colOff>231084</xdr:colOff>
      <xdr:row>0</xdr:row>
      <xdr:rowOff>135924</xdr:rowOff>
    </xdr:from>
    <xdr:to>
      <xdr:col>12</xdr:col>
      <xdr:colOff>146807</xdr:colOff>
      <xdr:row>3</xdr:row>
      <xdr:rowOff>151102</xdr:rowOff>
    </xdr:to>
    <xdr:pic>
      <xdr:nvPicPr>
        <xdr:cNvPr id="9" name="Picture 8">
          <a:extLst>
            <a:ext uri="{FF2B5EF4-FFF2-40B4-BE49-F238E27FC236}">
              <a16:creationId xmlns:a16="http://schemas.microsoft.com/office/drawing/2014/main" id="{EE791605-D4E1-4EF8-BA47-A8E301C721CA}"/>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626966" y="135924"/>
          <a:ext cx="588076" cy="553060"/>
        </a:xfrm>
        <a:prstGeom prst="rect">
          <a:avLst/>
        </a:prstGeom>
      </xdr:spPr>
    </xdr:pic>
    <xdr:clientData/>
  </xdr:twoCellAnchor>
  <xdr:twoCellAnchor editAs="oneCell">
    <xdr:from>
      <xdr:col>14</xdr:col>
      <xdr:colOff>341989</xdr:colOff>
      <xdr:row>0</xdr:row>
      <xdr:rowOff>90225</xdr:rowOff>
    </xdr:from>
    <xdr:to>
      <xdr:col>15</xdr:col>
      <xdr:colOff>275337</xdr:colOff>
      <xdr:row>3</xdr:row>
      <xdr:rowOff>100303</xdr:rowOff>
    </xdr:to>
    <xdr:pic>
      <xdr:nvPicPr>
        <xdr:cNvPr id="10" name="Picture 9">
          <a:hlinkClick xmlns:r="http://schemas.openxmlformats.org/officeDocument/2006/relationships" r:id="rId3"/>
          <a:extLst>
            <a:ext uri="{FF2B5EF4-FFF2-40B4-BE49-F238E27FC236}">
              <a16:creationId xmlns:a16="http://schemas.microsoft.com/office/drawing/2014/main" id="{1B8FB89E-8F1D-4D82-801E-0E47D6CD4A5E}"/>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9754930" y="90225"/>
          <a:ext cx="605701" cy="547960"/>
        </a:xfrm>
        <a:prstGeom prst="rect">
          <a:avLst/>
        </a:prstGeom>
      </xdr:spPr>
    </xdr:pic>
    <xdr:clientData/>
  </xdr:twoCellAnchor>
  <xdr:twoCellAnchor>
    <xdr:from>
      <xdr:col>1</xdr:col>
      <xdr:colOff>92674</xdr:colOff>
      <xdr:row>7</xdr:row>
      <xdr:rowOff>69333</xdr:rowOff>
    </xdr:from>
    <xdr:to>
      <xdr:col>4</xdr:col>
      <xdr:colOff>602045</xdr:colOff>
      <xdr:row>14</xdr:row>
      <xdr:rowOff>17097</xdr:rowOff>
    </xdr:to>
    <xdr:sp macro="" textlink="">
      <xdr:nvSpPr>
        <xdr:cNvPr id="11" name="Rectangle 10">
          <a:extLst>
            <a:ext uri="{FF2B5EF4-FFF2-40B4-BE49-F238E27FC236}">
              <a16:creationId xmlns:a16="http://schemas.microsoft.com/office/drawing/2014/main" id="{29E31ADD-9B4B-44DF-9BD3-47F2C6337ABB}"/>
            </a:ext>
          </a:extLst>
        </xdr:cNvPr>
        <xdr:cNvSpPr/>
      </xdr:nvSpPr>
      <xdr:spPr>
        <a:xfrm>
          <a:off x="765027" y="1324392"/>
          <a:ext cx="2526430" cy="1202823"/>
        </a:xfrm>
        <a:prstGeom prst="rect">
          <a:avLst/>
        </a:prstGeom>
        <a:solidFill>
          <a:schemeClr val="tx2">
            <a:lumMod val="20000"/>
            <a:lumOff val="80000"/>
          </a:schemeClr>
        </a:solidFill>
        <a:effectLst>
          <a:outerShdw blurRad="50800" dist="38100" dir="2700000" algn="tl" rotWithShape="0">
            <a:schemeClr val="bg2">
              <a:lumMod val="20000"/>
              <a:lumOff val="80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l"/>
          <a:r>
            <a:rPr lang="en-US" sz="1800" b="1">
              <a:solidFill>
                <a:schemeClr val="tx2"/>
              </a:solidFill>
              <a:latin typeface="+mn-lt"/>
              <a:ea typeface="+mn-ea"/>
              <a:cs typeface="+mn-cs"/>
            </a:rPr>
            <a:t>Attration Rate </a:t>
          </a:r>
        </a:p>
      </xdr:txBody>
    </xdr:sp>
    <xdr:clientData/>
  </xdr:twoCellAnchor>
  <xdr:oneCellAnchor>
    <xdr:from>
      <xdr:col>1</xdr:col>
      <xdr:colOff>214319</xdr:colOff>
      <xdr:row>8</xdr:row>
      <xdr:rowOff>86426</xdr:rowOff>
    </xdr:from>
    <xdr:ext cx="1169275" cy="670034"/>
    <xdr:sp macro="" textlink="'Pivot Table'!AH23">
      <xdr:nvSpPr>
        <xdr:cNvPr id="12" name="TextBox 11">
          <a:extLst>
            <a:ext uri="{FF2B5EF4-FFF2-40B4-BE49-F238E27FC236}">
              <a16:creationId xmlns:a16="http://schemas.microsoft.com/office/drawing/2014/main" id="{8F67DBF0-22BF-4074-A356-FC75EAF986C0}"/>
            </a:ext>
          </a:extLst>
        </xdr:cNvPr>
        <xdr:cNvSpPr txBox="1"/>
      </xdr:nvSpPr>
      <xdr:spPr>
        <a:xfrm>
          <a:off x="886672" y="1520779"/>
          <a:ext cx="1169275" cy="6700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E1E96A1D-FAA1-4120-A6BA-9D3028B3652D}" type="TxLink">
            <a:rPr lang="en-US" sz="2800" b="0" i="0" u="none" strike="noStrike">
              <a:solidFill>
                <a:schemeClr val="tx2"/>
              </a:solidFill>
              <a:latin typeface="Century Gothic"/>
            </a:rPr>
            <a:pPr/>
            <a:t>39</a:t>
          </a:fld>
          <a:endParaRPr lang="en-US" sz="2800">
            <a:solidFill>
              <a:schemeClr val="tx2"/>
            </a:solidFill>
          </a:endParaRPr>
        </a:p>
      </xdr:txBody>
    </xdr:sp>
    <xdr:clientData/>
  </xdr:oneCellAnchor>
  <xdr:twoCellAnchor editAs="oneCell">
    <xdr:from>
      <xdr:col>3</xdr:col>
      <xdr:colOff>266870</xdr:colOff>
      <xdr:row>8</xdr:row>
      <xdr:rowOff>60150</xdr:rowOff>
    </xdr:from>
    <xdr:to>
      <xdr:col>4</xdr:col>
      <xdr:colOff>424525</xdr:colOff>
      <xdr:row>13</xdr:row>
      <xdr:rowOff>30234</xdr:rowOff>
    </xdr:to>
    <xdr:pic>
      <xdr:nvPicPr>
        <xdr:cNvPr id="13" name="Picture 12">
          <a:extLst>
            <a:ext uri="{FF2B5EF4-FFF2-40B4-BE49-F238E27FC236}">
              <a16:creationId xmlns:a16="http://schemas.microsoft.com/office/drawing/2014/main" id="{0D242037-08A2-42B5-B256-5A29D86DE9B3}"/>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flipH="1">
          <a:off x="2283929" y="1494503"/>
          <a:ext cx="830008" cy="866555"/>
        </a:xfrm>
        <a:prstGeom prst="rect">
          <a:avLst/>
        </a:prstGeom>
      </xdr:spPr>
    </xdr:pic>
    <xdr:clientData/>
  </xdr:twoCellAnchor>
  <xdr:twoCellAnchor>
    <xdr:from>
      <xdr:col>1</xdr:col>
      <xdr:colOff>105812</xdr:colOff>
      <xdr:row>14</xdr:row>
      <xdr:rowOff>156196</xdr:rowOff>
    </xdr:from>
    <xdr:to>
      <xdr:col>4</xdr:col>
      <xdr:colOff>615183</xdr:colOff>
      <xdr:row>21</xdr:row>
      <xdr:rowOff>107603</xdr:rowOff>
    </xdr:to>
    <xdr:sp macro="" textlink="">
      <xdr:nvSpPr>
        <xdr:cNvPr id="14" name="Rectangle 13">
          <a:extLst>
            <a:ext uri="{FF2B5EF4-FFF2-40B4-BE49-F238E27FC236}">
              <a16:creationId xmlns:a16="http://schemas.microsoft.com/office/drawing/2014/main" id="{6B9BE0C5-7BF0-4FF2-B99C-A5983D0B4A5D}"/>
            </a:ext>
          </a:extLst>
        </xdr:cNvPr>
        <xdr:cNvSpPr/>
      </xdr:nvSpPr>
      <xdr:spPr>
        <a:xfrm>
          <a:off x="778165" y="2666314"/>
          <a:ext cx="2526430" cy="1206465"/>
        </a:xfrm>
        <a:prstGeom prst="rect">
          <a:avLst/>
        </a:prstGeom>
        <a:solidFill>
          <a:schemeClr val="tx2">
            <a:lumMod val="20000"/>
            <a:lumOff val="80000"/>
          </a:schemeClr>
        </a:solidFill>
        <a:effectLst>
          <a:outerShdw blurRad="50800" dist="38100" dir="2700000" algn="tl" rotWithShape="0">
            <a:schemeClr val="bg2">
              <a:lumMod val="20000"/>
              <a:lumOff val="80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1800" b="1">
              <a:solidFill>
                <a:schemeClr val="tx2"/>
              </a:solidFill>
              <a:latin typeface="+mn-lt"/>
              <a:ea typeface="+mn-ea"/>
              <a:cs typeface="+mn-cs"/>
            </a:rPr>
            <a:t>Overtime Rate </a:t>
          </a:r>
        </a:p>
      </xdr:txBody>
    </xdr:sp>
    <xdr:clientData/>
  </xdr:twoCellAnchor>
  <xdr:twoCellAnchor>
    <xdr:from>
      <xdr:col>1</xdr:col>
      <xdr:colOff>240594</xdr:colOff>
      <xdr:row>16</xdr:row>
      <xdr:rowOff>43373</xdr:rowOff>
    </xdr:from>
    <xdr:to>
      <xdr:col>3</xdr:col>
      <xdr:colOff>22203</xdr:colOff>
      <xdr:row>19</xdr:row>
      <xdr:rowOff>3959</xdr:rowOff>
    </xdr:to>
    <xdr:sp macro="" textlink="'Pivot Table'!E4">
      <xdr:nvSpPr>
        <xdr:cNvPr id="15" name="TextBox 14">
          <a:extLst>
            <a:ext uri="{FF2B5EF4-FFF2-40B4-BE49-F238E27FC236}">
              <a16:creationId xmlns:a16="http://schemas.microsoft.com/office/drawing/2014/main" id="{A20B80A1-6FE7-408F-A2E4-6A476897CA5E}"/>
            </a:ext>
          </a:extLst>
        </xdr:cNvPr>
        <xdr:cNvSpPr txBox="1"/>
      </xdr:nvSpPr>
      <xdr:spPr>
        <a:xfrm>
          <a:off x="912947" y="2912079"/>
          <a:ext cx="1126315" cy="4984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BB2A6BDC-1DE6-4B4A-B9B1-B02C128D3A29}" type="TxLink">
            <a:rPr lang="en-US" sz="2800" b="0" i="0" u="none" strike="noStrike">
              <a:solidFill>
                <a:schemeClr val="tx2"/>
              </a:solidFill>
              <a:latin typeface="Century Gothic"/>
              <a:ea typeface="+mn-ea"/>
              <a:cs typeface="+mn-cs"/>
            </a:rPr>
            <a:pPr marL="0" indent="0"/>
            <a:t>28%</a:t>
          </a:fld>
          <a:endParaRPr lang="en-US" sz="2800" b="0" i="0" u="none" strike="noStrike">
            <a:solidFill>
              <a:schemeClr val="tx2"/>
            </a:solidFill>
            <a:latin typeface="Century Gothic"/>
            <a:ea typeface="+mn-ea"/>
            <a:cs typeface="+mn-cs"/>
          </a:endParaRPr>
        </a:p>
      </xdr:txBody>
    </xdr:sp>
    <xdr:clientData/>
  </xdr:twoCellAnchor>
  <xdr:twoCellAnchor editAs="oneCell">
    <xdr:from>
      <xdr:col>3</xdr:col>
      <xdr:colOff>229111</xdr:colOff>
      <xdr:row>15</xdr:row>
      <xdr:rowOff>46682</xdr:rowOff>
    </xdr:from>
    <xdr:to>
      <xdr:col>4</xdr:col>
      <xdr:colOff>462283</xdr:colOff>
      <xdr:row>20</xdr:row>
      <xdr:rowOff>94462</xdr:rowOff>
    </xdr:to>
    <xdr:pic>
      <xdr:nvPicPr>
        <xdr:cNvPr id="16" name="Picture 15">
          <a:extLst>
            <a:ext uri="{FF2B5EF4-FFF2-40B4-BE49-F238E27FC236}">
              <a16:creationId xmlns:a16="http://schemas.microsoft.com/office/drawing/2014/main" id="{05BAB66D-DB59-44B4-A019-12D426628E56}"/>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flipH="1">
          <a:off x="2246170" y="2736094"/>
          <a:ext cx="905525" cy="944250"/>
        </a:xfrm>
        <a:prstGeom prst="rect">
          <a:avLst/>
        </a:prstGeom>
      </xdr:spPr>
    </xdr:pic>
    <xdr:clientData/>
  </xdr:twoCellAnchor>
  <xdr:twoCellAnchor>
    <xdr:from>
      <xdr:col>1</xdr:col>
      <xdr:colOff>92673</xdr:colOff>
      <xdr:row>22</xdr:row>
      <xdr:rowOff>95609</xdr:rowOff>
    </xdr:from>
    <xdr:to>
      <xdr:col>4</xdr:col>
      <xdr:colOff>602044</xdr:colOff>
      <xdr:row>29</xdr:row>
      <xdr:rowOff>43373</xdr:rowOff>
    </xdr:to>
    <xdr:sp macro="" textlink="">
      <xdr:nvSpPr>
        <xdr:cNvPr id="17" name="Rectangle 16">
          <a:extLst>
            <a:ext uri="{FF2B5EF4-FFF2-40B4-BE49-F238E27FC236}">
              <a16:creationId xmlns:a16="http://schemas.microsoft.com/office/drawing/2014/main" id="{E27D1C5D-5AE3-4DD6-8E21-750D8EB371F0}"/>
            </a:ext>
          </a:extLst>
        </xdr:cNvPr>
        <xdr:cNvSpPr/>
      </xdr:nvSpPr>
      <xdr:spPr>
        <a:xfrm>
          <a:off x="765026" y="4040080"/>
          <a:ext cx="2526430" cy="1202822"/>
        </a:xfrm>
        <a:prstGeom prst="rect">
          <a:avLst/>
        </a:prstGeom>
        <a:solidFill>
          <a:schemeClr val="tx2">
            <a:lumMod val="20000"/>
            <a:lumOff val="80000"/>
          </a:schemeClr>
        </a:solidFill>
        <a:effectLst>
          <a:outerShdw blurRad="50800" dist="38100" dir="2700000" algn="tl" rotWithShape="0">
            <a:schemeClr val="bg2">
              <a:lumMod val="20000"/>
              <a:lumOff val="80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l"/>
          <a:r>
            <a:rPr lang="en-US" sz="1800" b="1">
              <a:solidFill>
                <a:schemeClr val="tx2"/>
              </a:solidFill>
              <a:latin typeface="+mn-lt"/>
              <a:ea typeface="+mn-ea"/>
              <a:cs typeface="+mn-cs"/>
            </a:rPr>
            <a:t>Monthly Income</a:t>
          </a:r>
        </a:p>
      </xdr:txBody>
    </xdr:sp>
    <xdr:clientData/>
  </xdr:twoCellAnchor>
  <xdr:twoCellAnchor editAs="oneCell">
    <xdr:from>
      <xdr:col>3</xdr:col>
      <xdr:colOff>378543</xdr:colOff>
      <xdr:row>22</xdr:row>
      <xdr:rowOff>133878</xdr:rowOff>
    </xdr:from>
    <xdr:to>
      <xdr:col>4</xdr:col>
      <xdr:colOff>562474</xdr:colOff>
      <xdr:row>27</xdr:row>
      <xdr:rowOff>133877</xdr:rowOff>
    </xdr:to>
    <xdr:pic>
      <xdr:nvPicPr>
        <xdr:cNvPr id="18" name="Picture 17">
          <a:extLst>
            <a:ext uri="{FF2B5EF4-FFF2-40B4-BE49-F238E27FC236}">
              <a16:creationId xmlns:a16="http://schemas.microsoft.com/office/drawing/2014/main" id="{77A6B2FE-5A2D-4A3D-A7B0-1C6277597D6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2395602" y="4078349"/>
          <a:ext cx="856284" cy="896469"/>
        </a:xfrm>
        <a:prstGeom prst="rect">
          <a:avLst/>
        </a:prstGeom>
      </xdr:spPr>
    </xdr:pic>
    <xdr:clientData/>
  </xdr:twoCellAnchor>
  <xdr:twoCellAnchor>
    <xdr:from>
      <xdr:col>1</xdr:col>
      <xdr:colOff>260301</xdr:colOff>
      <xdr:row>23</xdr:row>
      <xdr:rowOff>94463</xdr:rowOff>
    </xdr:from>
    <xdr:to>
      <xdr:col>3</xdr:col>
      <xdr:colOff>2496</xdr:colOff>
      <xdr:row>26</xdr:row>
      <xdr:rowOff>133877</xdr:rowOff>
    </xdr:to>
    <xdr:sp macro="" textlink="'Pivot Table'!I4">
      <xdr:nvSpPr>
        <xdr:cNvPr id="19" name="TextBox 18">
          <a:extLst>
            <a:ext uri="{FF2B5EF4-FFF2-40B4-BE49-F238E27FC236}">
              <a16:creationId xmlns:a16="http://schemas.microsoft.com/office/drawing/2014/main" id="{FC99E970-70D4-42C8-8765-52EA5FD30BA0}"/>
            </a:ext>
          </a:extLst>
        </xdr:cNvPr>
        <xdr:cNvSpPr txBox="1"/>
      </xdr:nvSpPr>
      <xdr:spPr>
        <a:xfrm>
          <a:off x="932654" y="4218228"/>
          <a:ext cx="1086901" cy="5772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CD711417-5158-45CE-8300-4DCB40403868}" type="TxLink">
            <a:rPr lang="en-US" sz="2800" b="0" i="0" u="none" strike="noStrike">
              <a:solidFill>
                <a:schemeClr val="tx2"/>
              </a:solidFill>
              <a:latin typeface="Century Gothic"/>
              <a:ea typeface="+mn-ea"/>
              <a:cs typeface="+mn-cs"/>
            </a:rPr>
            <a:pPr marL="0" indent="0"/>
            <a:t>6505</a:t>
          </a:fld>
          <a:endParaRPr lang="en-US" sz="2800" b="0" i="0" u="none" strike="noStrike">
            <a:solidFill>
              <a:schemeClr val="tx2"/>
            </a:solidFill>
            <a:latin typeface="Century Gothic"/>
            <a:ea typeface="+mn-ea"/>
            <a:cs typeface="+mn-cs"/>
          </a:endParaRPr>
        </a:p>
      </xdr:txBody>
    </xdr:sp>
    <xdr:clientData/>
  </xdr:twoCellAnchor>
  <xdr:twoCellAnchor>
    <xdr:from>
      <xdr:col>5</xdr:col>
      <xdr:colOff>145224</xdr:colOff>
      <xdr:row>7</xdr:row>
      <xdr:rowOff>73288</xdr:rowOff>
    </xdr:from>
    <xdr:to>
      <xdr:col>10</xdr:col>
      <xdr:colOff>312853</xdr:colOff>
      <xdr:row>29</xdr:row>
      <xdr:rowOff>110300</xdr:rowOff>
    </xdr:to>
    <xdr:sp macro="" textlink="">
      <xdr:nvSpPr>
        <xdr:cNvPr id="20" name="Rectangle 19">
          <a:extLst>
            <a:ext uri="{FF2B5EF4-FFF2-40B4-BE49-F238E27FC236}">
              <a16:creationId xmlns:a16="http://schemas.microsoft.com/office/drawing/2014/main" id="{A54D0402-8103-4EEC-9324-4A19E66AF2F6}"/>
            </a:ext>
          </a:extLst>
        </xdr:cNvPr>
        <xdr:cNvSpPr/>
      </xdr:nvSpPr>
      <xdr:spPr>
        <a:xfrm>
          <a:off x="3506989" y="1328347"/>
          <a:ext cx="3529393" cy="3981482"/>
        </a:xfrm>
        <a:prstGeom prst="rect">
          <a:avLst/>
        </a:prstGeom>
        <a:solidFill>
          <a:schemeClr val="tx2">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solidFill>
                <a:schemeClr val="tx2"/>
              </a:solidFill>
            </a:rPr>
            <a:t>Attration Rate by Job Role</a:t>
          </a:r>
        </a:p>
      </xdr:txBody>
    </xdr:sp>
    <xdr:clientData/>
  </xdr:twoCellAnchor>
  <xdr:twoCellAnchor>
    <xdr:from>
      <xdr:col>5</xdr:col>
      <xdr:colOff>160578</xdr:colOff>
      <xdr:row>9</xdr:row>
      <xdr:rowOff>31499</xdr:rowOff>
    </xdr:from>
    <xdr:to>
      <xdr:col>10</xdr:col>
      <xdr:colOff>304304</xdr:colOff>
      <xdr:row>29</xdr:row>
      <xdr:rowOff>91772</xdr:rowOff>
    </xdr:to>
    <xdr:graphicFrame macro="">
      <xdr:nvGraphicFramePr>
        <xdr:cNvPr id="21" name="Chart 20">
          <a:extLst>
            <a:ext uri="{FF2B5EF4-FFF2-40B4-BE49-F238E27FC236}">
              <a16:creationId xmlns:a16="http://schemas.microsoft.com/office/drawing/2014/main" id="{7931B5AC-CB8F-4FF5-B9A7-51A47A41B6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xdr:col>
      <xdr:colOff>417797</xdr:colOff>
      <xdr:row>7</xdr:row>
      <xdr:rowOff>60785</xdr:rowOff>
    </xdr:from>
    <xdr:to>
      <xdr:col>15</xdr:col>
      <xdr:colOff>295124</xdr:colOff>
      <xdr:row>29</xdr:row>
      <xdr:rowOff>129741</xdr:rowOff>
    </xdr:to>
    <xdr:sp macro="" textlink="">
      <xdr:nvSpPr>
        <xdr:cNvPr id="22" name="Rectangle 21">
          <a:extLst>
            <a:ext uri="{FF2B5EF4-FFF2-40B4-BE49-F238E27FC236}">
              <a16:creationId xmlns:a16="http://schemas.microsoft.com/office/drawing/2014/main" id="{51899A92-1B1A-4B78-82D2-8D8A68F6F6CF}"/>
            </a:ext>
          </a:extLst>
        </xdr:cNvPr>
        <xdr:cNvSpPr/>
      </xdr:nvSpPr>
      <xdr:spPr>
        <a:xfrm>
          <a:off x="7141326" y="1315844"/>
          <a:ext cx="3239092" cy="4013426"/>
        </a:xfrm>
        <a:prstGeom prst="rect">
          <a:avLst/>
        </a:prstGeom>
        <a:solidFill>
          <a:schemeClr val="tx2">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400" b="1">
              <a:solidFill>
                <a:schemeClr val="tx2"/>
              </a:solidFill>
              <a:latin typeface="+mn-lt"/>
              <a:ea typeface="+mn-ea"/>
              <a:cs typeface="+mn-cs"/>
            </a:rPr>
            <a:t>Departments by Monthly Income </a:t>
          </a:r>
        </a:p>
      </xdr:txBody>
    </xdr:sp>
    <xdr:clientData/>
  </xdr:twoCellAnchor>
  <xdr:twoCellAnchor>
    <xdr:from>
      <xdr:col>10</xdr:col>
      <xdr:colOff>469557</xdr:colOff>
      <xdr:row>9</xdr:row>
      <xdr:rowOff>32607</xdr:rowOff>
    </xdr:from>
    <xdr:to>
      <xdr:col>15</xdr:col>
      <xdr:colOff>249220</xdr:colOff>
      <xdr:row>29</xdr:row>
      <xdr:rowOff>41788</xdr:rowOff>
    </xdr:to>
    <xdr:graphicFrame macro="">
      <xdr:nvGraphicFramePr>
        <xdr:cNvPr id="23" name="Chart 22">
          <a:extLst>
            <a:ext uri="{FF2B5EF4-FFF2-40B4-BE49-F238E27FC236}">
              <a16:creationId xmlns:a16="http://schemas.microsoft.com/office/drawing/2014/main" id="{B32AE95E-2724-492E-8765-C08EFDDCFF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20</xdr:col>
      <xdr:colOff>86399</xdr:colOff>
      <xdr:row>21</xdr:row>
      <xdr:rowOff>91772</xdr:rowOff>
    </xdr:from>
    <xdr:to>
      <xdr:col>22</xdr:col>
      <xdr:colOff>584242</xdr:colOff>
      <xdr:row>30</xdr:row>
      <xdr:rowOff>32606</xdr:rowOff>
    </xdr:to>
    <mc:AlternateContent xmlns:mc="http://schemas.openxmlformats.org/markup-compatibility/2006">
      <mc:Choice xmlns:a14="http://schemas.microsoft.com/office/drawing/2010/main" Requires="a14">
        <xdr:graphicFrame macro="">
          <xdr:nvGraphicFramePr>
            <xdr:cNvPr id="24" name="Department 4">
              <a:extLst>
                <a:ext uri="{FF2B5EF4-FFF2-40B4-BE49-F238E27FC236}">
                  <a16:creationId xmlns:a16="http://schemas.microsoft.com/office/drawing/2014/main" id="{03D983A7-9851-4644-B44A-D68CDB134741}"/>
                </a:ext>
              </a:extLst>
            </xdr:cNvPr>
            <xdr:cNvGraphicFramePr/>
          </xdr:nvGraphicFramePr>
          <xdr:xfrm>
            <a:off x="0" y="0"/>
            <a:ext cx="0" cy="0"/>
          </xdr:xfrm>
          <a:graphic>
            <a:graphicData uri="http://schemas.microsoft.com/office/drawing/2010/slicer">
              <sle:slicer xmlns:sle="http://schemas.microsoft.com/office/drawing/2010/slicer" name="Department 4"/>
            </a:graphicData>
          </a:graphic>
        </xdr:graphicFrame>
      </mc:Choice>
      <mc:Fallback>
        <xdr:sp macro="" textlink="">
          <xdr:nvSpPr>
            <xdr:cNvPr id="0" name=""/>
            <xdr:cNvSpPr>
              <a:spLocks noTextEdit="1"/>
            </xdr:cNvSpPr>
          </xdr:nvSpPr>
          <xdr:spPr>
            <a:xfrm>
              <a:off x="13533458" y="3856948"/>
              <a:ext cx="1842549" cy="155448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97416</xdr:colOff>
      <xdr:row>13</xdr:row>
      <xdr:rowOff>7107</xdr:rowOff>
    </xdr:from>
    <xdr:to>
      <xdr:col>22</xdr:col>
      <xdr:colOff>595259</xdr:colOff>
      <xdr:row>21</xdr:row>
      <xdr:rowOff>102357</xdr:rowOff>
    </xdr:to>
    <mc:AlternateContent xmlns:mc="http://schemas.openxmlformats.org/markup-compatibility/2006">
      <mc:Choice xmlns:a14="http://schemas.microsoft.com/office/drawing/2010/main" Requires="a14">
        <xdr:graphicFrame macro="">
          <xdr:nvGraphicFramePr>
            <xdr:cNvPr id="25" name="SalarySlab 4">
              <a:extLst>
                <a:ext uri="{FF2B5EF4-FFF2-40B4-BE49-F238E27FC236}">
                  <a16:creationId xmlns:a16="http://schemas.microsoft.com/office/drawing/2014/main" id="{E948C1AD-09D4-4F06-815F-9401A4E2C622}"/>
                </a:ext>
              </a:extLst>
            </xdr:cNvPr>
            <xdr:cNvGraphicFramePr/>
          </xdr:nvGraphicFramePr>
          <xdr:xfrm>
            <a:off x="0" y="0"/>
            <a:ext cx="0" cy="0"/>
          </xdr:xfrm>
          <a:graphic>
            <a:graphicData uri="http://schemas.microsoft.com/office/drawing/2010/slicer">
              <sle:slicer xmlns:sle="http://schemas.microsoft.com/office/drawing/2010/slicer" name="SalarySlab 4"/>
            </a:graphicData>
          </a:graphic>
        </xdr:graphicFrame>
      </mc:Choice>
      <mc:Fallback>
        <xdr:sp macro="" textlink="">
          <xdr:nvSpPr>
            <xdr:cNvPr id="0" name=""/>
            <xdr:cNvSpPr>
              <a:spLocks noTextEdit="1"/>
            </xdr:cNvSpPr>
          </xdr:nvSpPr>
          <xdr:spPr>
            <a:xfrm>
              <a:off x="13544475" y="2337931"/>
              <a:ext cx="1842549" cy="152960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20</xdr:col>
      <xdr:colOff>58658</xdr:colOff>
      <xdr:row>6</xdr:row>
      <xdr:rowOff>135443</xdr:rowOff>
    </xdr:from>
    <xdr:to>
      <xdr:col>22</xdr:col>
      <xdr:colOff>635305</xdr:colOff>
      <xdr:row>12</xdr:row>
      <xdr:rowOff>153804</xdr:rowOff>
    </xdr:to>
    <xdr:sp macro="" textlink="">
      <xdr:nvSpPr>
        <xdr:cNvPr id="26" name="Rectangle 25">
          <a:extLst>
            <a:ext uri="{FF2B5EF4-FFF2-40B4-BE49-F238E27FC236}">
              <a16:creationId xmlns:a16="http://schemas.microsoft.com/office/drawing/2014/main" id="{5EF176C2-510F-4488-A590-CB8D976C0521}"/>
            </a:ext>
          </a:extLst>
        </xdr:cNvPr>
        <xdr:cNvSpPr/>
      </xdr:nvSpPr>
      <xdr:spPr>
        <a:xfrm>
          <a:off x="13505717" y="1211208"/>
          <a:ext cx="1921353" cy="1094125"/>
        </a:xfrm>
        <a:prstGeom prst="rect">
          <a:avLst/>
        </a:prstGeom>
        <a:solidFill>
          <a:schemeClr val="tx2">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400" b="1">
              <a:solidFill>
                <a:schemeClr val="tx2"/>
              </a:solidFill>
              <a:latin typeface="+mn-lt"/>
              <a:ea typeface="+mn-ea"/>
              <a:cs typeface="+mn-cs"/>
            </a:rPr>
            <a:t>Clear Filters</a:t>
          </a:r>
        </a:p>
      </xdr:txBody>
    </xdr:sp>
    <xdr:clientData/>
  </xdr:twoCellAnchor>
  <xdr:twoCellAnchor editAs="oneCell">
    <xdr:from>
      <xdr:col>21</xdr:col>
      <xdr:colOff>39791</xdr:colOff>
      <xdr:row>8</xdr:row>
      <xdr:rowOff>146855</xdr:rowOff>
    </xdr:from>
    <xdr:to>
      <xdr:col>22</xdr:col>
      <xdr:colOff>21429</xdr:colOff>
      <xdr:row>12</xdr:row>
      <xdr:rowOff>100952</xdr:rowOff>
    </xdr:to>
    <xdr:pic macro="[0]!Clear_Filters">
      <xdr:nvPicPr>
        <xdr:cNvPr id="27" name="Picture 26">
          <a:extLst>
            <a:ext uri="{FF2B5EF4-FFF2-40B4-BE49-F238E27FC236}">
              <a16:creationId xmlns:a16="http://schemas.microsoft.com/office/drawing/2014/main" id="{987B9B98-CC8A-452E-939D-62FAC74D9FE3}"/>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4159203" y="1581208"/>
          <a:ext cx="653991" cy="671273"/>
        </a:xfrm>
        <a:prstGeom prst="rect">
          <a:avLst/>
        </a:prstGeom>
      </xdr:spPr>
    </xdr:pic>
    <xdr:clientData/>
  </xdr:twoCellAnchor>
  <xdr:twoCellAnchor>
    <xdr:from>
      <xdr:col>15</xdr:col>
      <xdr:colOff>457609</xdr:colOff>
      <xdr:row>7</xdr:row>
      <xdr:rowOff>49440</xdr:rowOff>
    </xdr:from>
    <xdr:to>
      <xdr:col>19</xdr:col>
      <xdr:colOff>624563</xdr:colOff>
      <xdr:row>29</xdr:row>
      <xdr:rowOff>142399</xdr:rowOff>
    </xdr:to>
    <xdr:sp macro="" textlink="">
      <xdr:nvSpPr>
        <xdr:cNvPr id="28" name="Rectangle 27">
          <a:extLst>
            <a:ext uri="{FF2B5EF4-FFF2-40B4-BE49-F238E27FC236}">
              <a16:creationId xmlns:a16="http://schemas.microsoft.com/office/drawing/2014/main" id="{873FA362-71D6-4990-87DC-7B81AB0D842C}"/>
            </a:ext>
          </a:extLst>
        </xdr:cNvPr>
        <xdr:cNvSpPr/>
      </xdr:nvSpPr>
      <xdr:spPr>
        <a:xfrm>
          <a:off x="10542903" y="1304499"/>
          <a:ext cx="2856366" cy="4037429"/>
        </a:xfrm>
        <a:prstGeom prst="rect">
          <a:avLst/>
        </a:prstGeom>
        <a:solidFill>
          <a:schemeClr val="tx2">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solidFill>
                <a:schemeClr val="tx2"/>
              </a:solidFill>
            </a:rPr>
            <a:t>Satisfaction Rate By Job role</a:t>
          </a:r>
        </a:p>
      </xdr:txBody>
    </xdr:sp>
    <xdr:clientData/>
  </xdr:twoCellAnchor>
  <xdr:twoCellAnchor>
    <xdr:from>
      <xdr:col>15</xdr:col>
      <xdr:colOff>471980</xdr:colOff>
      <xdr:row>9</xdr:row>
      <xdr:rowOff>91773</xdr:rowOff>
    </xdr:from>
    <xdr:to>
      <xdr:col>19</xdr:col>
      <xdr:colOff>598980</xdr:colOff>
      <xdr:row>29</xdr:row>
      <xdr:rowOff>144688</xdr:rowOff>
    </xdr:to>
    <mc:AlternateContent xmlns:mc="http://schemas.openxmlformats.org/markup-compatibility/2006">
      <mc:Choice xmlns:cx1="http://schemas.microsoft.com/office/drawing/2015/9/8/chartex" Requires="cx1">
        <xdr:graphicFrame macro="">
          <xdr:nvGraphicFramePr>
            <xdr:cNvPr id="29" name="Chart 28">
              <a:extLst>
                <a:ext uri="{FF2B5EF4-FFF2-40B4-BE49-F238E27FC236}">
                  <a16:creationId xmlns:a16="http://schemas.microsoft.com/office/drawing/2014/main" id="{912E9499-8877-40C1-912B-9FE65FCA725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4"/>
            </a:graphicData>
          </a:graphic>
        </xdr:graphicFrame>
      </mc:Choice>
      <mc:Fallback>
        <xdr:sp macro="" textlink="">
          <xdr:nvSpPr>
            <xdr:cNvPr id="0" name=""/>
            <xdr:cNvSpPr>
              <a:spLocks noTextEdit="1"/>
            </xdr:cNvSpPr>
          </xdr:nvSpPr>
          <xdr:spPr>
            <a:xfrm>
              <a:off x="10557274" y="1705420"/>
              <a:ext cx="2816412" cy="363879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481716</xdr:colOff>
      <xdr:row>9</xdr:row>
      <xdr:rowOff>65526</xdr:rowOff>
    </xdr:from>
    <xdr:to>
      <xdr:col>19</xdr:col>
      <xdr:colOff>608716</xdr:colOff>
      <xdr:row>29</xdr:row>
      <xdr:rowOff>107859</xdr:rowOff>
    </xdr:to>
    <mc:AlternateContent xmlns:mc="http://schemas.openxmlformats.org/markup-compatibility/2006">
      <mc:Choice xmlns:cx1="http://schemas.microsoft.com/office/drawing/2015/9/8/chartex" Requires="cx1">
        <xdr:graphicFrame macro="">
          <xdr:nvGraphicFramePr>
            <xdr:cNvPr id="33" name="Chart 32">
              <a:extLst>
                <a:ext uri="{FF2B5EF4-FFF2-40B4-BE49-F238E27FC236}">
                  <a16:creationId xmlns:a16="http://schemas.microsoft.com/office/drawing/2014/main" id="{FFB558CB-6062-4AAE-9A30-91B58F505BC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5"/>
            </a:graphicData>
          </a:graphic>
        </xdr:graphicFrame>
      </mc:Choice>
      <mc:Fallback>
        <xdr:sp macro="" textlink="">
          <xdr:nvSpPr>
            <xdr:cNvPr id="0" name=""/>
            <xdr:cNvSpPr>
              <a:spLocks noTextEdit="1"/>
            </xdr:cNvSpPr>
          </xdr:nvSpPr>
          <xdr:spPr>
            <a:xfrm>
              <a:off x="10567010" y="1679173"/>
              <a:ext cx="2816412" cy="362821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0</xdr:row>
      <xdr:rowOff>4</xdr:rowOff>
    </xdr:from>
    <xdr:to>
      <xdr:col>21</xdr:col>
      <xdr:colOff>418157</xdr:colOff>
      <xdr:row>32</xdr:row>
      <xdr:rowOff>99137</xdr:rowOff>
    </xdr:to>
    <xdr:sp macro="" textlink="">
      <xdr:nvSpPr>
        <xdr:cNvPr id="2" name="Rectangle 1">
          <a:extLst>
            <a:ext uri="{FF2B5EF4-FFF2-40B4-BE49-F238E27FC236}">
              <a16:creationId xmlns:a16="http://schemas.microsoft.com/office/drawing/2014/main" id="{65498C22-06BD-485A-9E6A-9EC7C9D9E15E}"/>
            </a:ext>
          </a:extLst>
        </xdr:cNvPr>
        <xdr:cNvSpPr/>
      </xdr:nvSpPr>
      <xdr:spPr>
        <a:xfrm>
          <a:off x="673652" y="4"/>
          <a:ext cx="13891201" cy="5753394"/>
        </a:xfrm>
        <a:prstGeom prst="rect">
          <a:avLst/>
        </a:prstGeom>
        <a:solidFill>
          <a:schemeClr val="accent1">
            <a:lumMod val="75000"/>
          </a:schemeClr>
        </a:solidFill>
        <a:effectLst>
          <a:outerShdw blurRad="50800" dist="38100" dir="18900000" algn="bl" rotWithShape="0">
            <a:schemeClr val="accent1">
              <a:lumMod val="60000"/>
              <a:lumOff val="40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662607</xdr:colOff>
      <xdr:row>0</xdr:row>
      <xdr:rowOff>0</xdr:rowOff>
    </xdr:from>
    <xdr:to>
      <xdr:col>21</xdr:col>
      <xdr:colOff>397560</xdr:colOff>
      <xdr:row>6</xdr:row>
      <xdr:rowOff>64477</xdr:rowOff>
    </xdr:to>
    <xdr:sp macro="" textlink="">
      <xdr:nvSpPr>
        <xdr:cNvPr id="3" name="Rectangle: Top Corners Rounded 2">
          <a:extLst>
            <a:ext uri="{FF2B5EF4-FFF2-40B4-BE49-F238E27FC236}">
              <a16:creationId xmlns:a16="http://schemas.microsoft.com/office/drawing/2014/main" id="{3F78C9F0-9765-490A-A304-BBF8E888206F}"/>
            </a:ext>
          </a:extLst>
        </xdr:cNvPr>
        <xdr:cNvSpPr/>
      </xdr:nvSpPr>
      <xdr:spPr>
        <a:xfrm rot="10800000">
          <a:off x="662607" y="0"/>
          <a:ext cx="13881649" cy="1124651"/>
        </a:xfrm>
        <a:prstGeom prst="round2SameRect">
          <a:avLst/>
        </a:prstGeom>
        <a:solidFill>
          <a:srgbClr val="0E76B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5</xdr:row>
      <xdr:rowOff>95452</xdr:rowOff>
    </xdr:from>
    <xdr:to>
      <xdr:col>21</xdr:col>
      <xdr:colOff>438752</xdr:colOff>
      <xdr:row>6</xdr:row>
      <xdr:rowOff>110181</xdr:rowOff>
    </xdr:to>
    <xdr:sp macro="" textlink="">
      <xdr:nvSpPr>
        <xdr:cNvPr id="4" name="Rectangle 3">
          <a:extLst>
            <a:ext uri="{FF2B5EF4-FFF2-40B4-BE49-F238E27FC236}">
              <a16:creationId xmlns:a16="http://schemas.microsoft.com/office/drawing/2014/main" id="{1A548522-C31C-42B1-9BA3-DBC9C82F23CF}"/>
            </a:ext>
          </a:extLst>
        </xdr:cNvPr>
        <xdr:cNvSpPr/>
      </xdr:nvSpPr>
      <xdr:spPr>
        <a:xfrm>
          <a:off x="673652" y="978930"/>
          <a:ext cx="13911796" cy="191425"/>
        </a:xfrm>
        <a:prstGeom prst="rect">
          <a:avLst/>
        </a:prstGeom>
        <a:solidFill>
          <a:schemeClr val="tx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662379</xdr:colOff>
      <xdr:row>0</xdr:row>
      <xdr:rowOff>22322</xdr:rowOff>
    </xdr:from>
    <xdr:to>
      <xdr:col>8</xdr:col>
      <xdr:colOff>91063</xdr:colOff>
      <xdr:row>5</xdr:row>
      <xdr:rowOff>81192</xdr:rowOff>
    </xdr:to>
    <xdr:sp macro="" textlink="">
      <xdr:nvSpPr>
        <xdr:cNvPr id="5" name="Rectangle 4">
          <a:hlinkClick xmlns:r="http://schemas.openxmlformats.org/officeDocument/2006/relationships" r:id="rId1"/>
          <a:extLst>
            <a:ext uri="{FF2B5EF4-FFF2-40B4-BE49-F238E27FC236}">
              <a16:creationId xmlns:a16="http://schemas.microsoft.com/office/drawing/2014/main" id="{97187A89-C9E9-43C8-B166-AF100A332F77}"/>
            </a:ext>
          </a:extLst>
        </xdr:cNvPr>
        <xdr:cNvSpPr/>
      </xdr:nvSpPr>
      <xdr:spPr>
        <a:xfrm>
          <a:off x="4030640" y="22322"/>
          <a:ext cx="1449640" cy="942348"/>
        </a:xfrm>
        <a:prstGeom prst="rect">
          <a:avLst/>
        </a:prstGeom>
        <a:solidFill>
          <a:srgbClr val="0070C0"/>
        </a:solidFill>
        <a:ln>
          <a:noFill/>
        </a:ln>
        <a:effectLst/>
        <a:scene3d>
          <a:camera prst="orthographicFront"/>
          <a:lightRig rig="threePt" dir="t"/>
        </a:scene3d>
        <a:sp3d>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200" b="1"/>
            <a:t>Overview</a:t>
          </a:r>
        </a:p>
      </xdr:txBody>
    </xdr:sp>
    <xdr:clientData/>
  </xdr:twoCellAnchor>
  <xdr:twoCellAnchor>
    <xdr:from>
      <xdr:col>9</xdr:col>
      <xdr:colOff>88552</xdr:colOff>
      <xdr:row>0</xdr:row>
      <xdr:rowOff>22322</xdr:rowOff>
    </xdr:from>
    <xdr:to>
      <xdr:col>11</xdr:col>
      <xdr:colOff>363232</xdr:colOff>
      <xdr:row>5</xdr:row>
      <xdr:rowOff>109720</xdr:rowOff>
    </xdr:to>
    <xdr:sp macro="" textlink="">
      <xdr:nvSpPr>
        <xdr:cNvPr id="6" name="Rectangle 5">
          <a:hlinkClick xmlns:r="http://schemas.openxmlformats.org/officeDocument/2006/relationships" r:id="rId2"/>
          <a:extLst>
            <a:ext uri="{FF2B5EF4-FFF2-40B4-BE49-F238E27FC236}">
              <a16:creationId xmlns:a16="http://schemas.microsoft.com/office/drawing/2014/main" id="{3D8D1679-A751-4DA7-BC69-5531C0BC8963}"/>
            </a:ext>
          </a:extLst>
        </xdr:cNvPr>
        <xdr:cNvSpPr/>
      </xdr:nvSpPr>
      <xdr:spPr>
        <a:xfrm>
          <a:off x="6151422" y="22322"/>
          <a:ext cx="1621984" cy="970876"/>
        </a:xfrm>
        <a:prstGeom prst="rect">
          <a:avLst/>
        </a:prstGeom>
        <a:solidFill>
          <a:schemeClr val="tx2">
            <a:lumMod val="75000"/>
          </a:schemeClr>
        </a:solidFill>
        <a:ln>
          <a:noFill/>
        </a:ln>
        <a:effectLst/>
        <a:scene3d>
          <a:camera prst="orthographicFront"/>
          <a:lightRig rig="threePt" dir="t"/>
        </a:scene3d>
        <a:sp3d>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en-US" sz="1200" b="1">
              <a:solidFill>
                <a:schemeClr val="lt1"/>
              </a:solidFill>
              <a:latin typeface="+mn-lt"/>
              <a:ea typeface="+mn-ea"/>
              <a:cs typeface="+mn-cs"/>
            </a:rPr>
            <a:t>Department</a:t>
          </a:r>
        </a:p>
      </xdr:txBody>
    </xdr:sp>
    <xdr:clientData/>
  </xdr:twoCellAnchor>
  <xdr:twoCellAnchor>
    <xdr:from>
      <xdr:col>12</xdr:col>
      <xdr:colOff>259338</xdr:colOff>
      <xdr:row>0</xdr:row>
      <xdr:rowOff>22322</xdr:rowOff>
    </xdr:from>
    <xdr:to>
      <xdr:col>14</xdr:col>
      <xdr:colOff>361832</xdr:colOff>
      <xdr:row>5</xdr:row>
      <xdr:rowOff>78514</xdr:rowOff>
    </xdr:to>
    <xdr:sp macro="" textlink="">
      <xdr:nvSpPr>
        <xdr:cNvPr id="7" name="Rectangle 6">
          <a:hlinkClick xmlns:r="http://schemas.openxmlformats.org/officeDocument/2006/relationships" r:id="rId3"/>
          <a:extLst>
            <a:ext uri="{FF2B5EF4-FFF2-40B4-BE49-F238E27FC236}">
              <a16:creationId xmlns:a16="http://schemas.microsoft.com/office/drawing/2014/main" id="{197CC7FE-E0BA-4FC2-B382-0D66620C3080}"/>
            </a:ext>
          </a:extLst>
        </xdr:cNvPr>
        <xdr:cNvSpPr/>
      </xdr:nvSpPr>
      <xdr:spPr>
        <a:xfrm>
          <a:off x="8343164" y="22322"/>
          <a:ext cx="1449798" cy="939670"/>
        </a:xfrm>
        <a:prstGeom prst="rect">
          <a:avLst/>
        </a:prstGeom>
        <a:solidFill>
          <a:srgbClr val="0E76B6"/>
        </a:solidFill>
        <a:ln>
          <a:noFill/>
        </a:ln>
        <a:effectLst/>
        <a:scene3d>
          <a:camera prst="orthographicFront"/>
          <a:lightRig rig="threePt" dir="t"/>
        </a:scene3d>
        <a:sp3d>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en-US" sz="1200" b="1">
              <a:solidFill>
                <a:schemeClr val="lt1"/>
              </a:solidFill>
              <a:latin typeface="+mn-lt"/>
              <a:ea typeface="+mn-ea"/>
              <a:cs typeface="+mn-cs"/>
            </a:rPr>
            <a:t>Employee</a:t>
          </a:r>
        </a:p>
      </xdr:txBody>
    </xdr:sp>
    <xdr:clientData/>
  </xdr:twoCellAnchor>
  <xdr:twoCellAnchor editAs="oneCell">
    <xdr:from>
      <xdr:col>6</xdr:col>
      <xdr:colOff>578591</xdr:colOff>
      <xdr:row>0</xdr:row>
      <xdr:rowOff>133128</xdr:rowOff>
    </xdr:from>
    <xdr:to>
      <xdr:col>7</xdr:col>
      <xdr:colOff>362138</xdr:colOff>
      <xdr:row>3</xdr:row>
      <xdr:rowOff>64765</xdr:rowOff>
    </xdr:to>
    <xdr:pic>
      <xdr:nvPicPr>
        <xdr:cNvPr id="8" name="Picture 7">
          <a:extLst>
            <a:ext uri="{FF2B5EF4-FFF2-40B4-BE49-F238E27FC236}">
              <a16:creationId xmlns:a16="http://schemas.microsoft.com/office/drawing/2014/main" id="{BB68507D-2C5D-49C5-8E17-42B2494C881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620504" y="133128"/>
          <a:ext cx="457199" cy="461724"/>
        </a:xfrm>
        <a:prstGeom prst="rect">
          <a:avLst/>
        </a:prstGeom>
      </xdr:spPr>
    </xdr:pic>
    <xdr:clientData/>
  </xdr:twoCellAnchor>
  <xdr:twoCellAnchor editAs="oneCell">
    <xdr:from>
      <xdr:col>9</xdr:col>
      <xdr:colOff>590584</xdr:colOff>
      <xdr:row>0</xdr:row>
      <xdr:rowOff>143288</xdr:rowOff>
    </xdr:from>
    <xdr:to>
      <xdr:col>10</xdr:col>
      <xdr:colOff>506307</xdr:colOff>
      <xdr:row>3</xdr:row>
      <xdr:rowOff>158466</xdr:rowOff>
    </xdr:to>
    <xdr:pic>
      <xdr:nvPicPr>
        <xdr:cNvPr id="9" name="Picture 8">
          <a:extLst>
            <a:ext uri="{FF2B5EF4-FFF2-40B4-BE49-F238E27FC236}">
              <a16:creationId xmlns:a16="http://schemas.microsoft.com/office/drawing/2014/main" id="{55D164F5-7ABF-4D3B-AF7C-CE19AEA9CE6B}"/>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653454" y="143288"/>
          <a:ext cx="589375" cy="545265"/>
        </a:xfrm>
        <a:prstGeom prst="rect">
          <a:avLst/>
        </a:prstGeom>
      </xdr:spPr>
    </xdr:pic>
    <xdr:clientData/>
  </xdr:twoCellAnchor>
  <xdr:twoCellAnchor editAs="oneCell">
    <xdr:from>
      <xdr:col>13</xdr:col>
      <xdr:colOff>27838</xdr:colOff>
      <xdr:row>0</xdr:row>
      <xdr:rowOff>90228</xdr:rowOff>
    </xdr:from>
    <xdr:to>
      <xdr:col>13</xdr:col>
      <xdr:colOff>634838</xdr:colOff>
      <xdr:row>3</xdr:row>
      <xdr:rowOff>107667</xdr:rowOff>
    </xdr:to>
    <xdr:pic>
      <xdr:nvPicPr>
        <xdr:cNvPr id="10" name="Picture 9">
          <a:extLst>
            <a:ext uri="{FF2B5EF4-FFF2-40B4-BE49-F238E27FC236}">
              <a16:creationId xmlns:a16="http://schemas.microsoft.com/office/drawing/2014/main" id="{25F42C8B-A5C5-4A7D-ADB4-B7E611C42F1D}"/>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8785316" y="90228"/>
          <a:ext cx="607000" cy="547526"/>
        </a:xfrm>
        <a:prstGeom prst="rect">
          <a:avLst/>
        </a:prstGeom>
      </xdr:spPr>
    </xdr:pic>
    <xdr:clientData/>
  </xdr:twoCellAnchor>
  <xdr:twoCellAnchor editAs="oneCell">
    <xdr:from>
      <xdr:col>18</xdr:col>
      <xdr:colOff>510758</xdr:colOff>
      <xdr:row>21</xdr:row>
      <xdr:rowOff>161259</xdr:rowOff>
    </xdr:from>
    <xdr:to>
      <xdr:col>21</xdr:col>
      <xdr:colOff>334949</xdr:colOff>
      <xdr:row>32</xdr:row>
      <xdr:rowOff>17691</xdr:rowOff>
    </xdr:to>
    <mc:AlternateContent xmlns:mc="http://schemas.openxmlformats.org/markup-compatibility/2006">
      <mc:Choice xmlns:a14="http://schemas.microsoft.com/office/drawing/2010/main" Requires="a14">
        <xdr:graphicFrame macro="">
          <xdr:nvGraphicFramePr>
            <xdr:cNvPr id="11" name="Department 5">
              <a:extLst>
                <a:ext uri="{FF2B5EF4-FFF2-40B4-BE49-F238E27FC236}">
                  <a16:creationId xmlns:a16="http://schemas.microsoft.com/office/drawing/2014/main" id="{4ADE17CF-37C1-49E2-9096-A3B3B0B6A2B4}"/>
                </a:ext>
              </a:extLst>
            </xdr:cNvPr>
            <xdr:cNvGraphicFramePr/>
          </xdr:nvGraphicFramePr>
          <xdr:xfrm>
            <a:off x="0" y="0"/>
            <a:ext cx="0" cy="0"/>
          </xdr:xfrm>
          <a:graphic>
            <a:graphicData uri="http://schemas.microsoft.com/office/drawing/2010/slicer">
              <sle:slicer xmlns:sle="http://schemas.microsoft.com/office/drawing/2010/slicer" name="Department 5"/>
            </a:graphicData>
          </a:graphic>
        </xdr:graphicFrame>
      </mc:Choice>
      <mc:Fallback>
        <xdr:sp macro="" textlink="">
          <xdr:nvSpPr>
            <xdr:cNvPr id="0" name=""/>
            <xdr:cNvSpPr>
              <a:spLocks noTextEdit="1"/>
            </xdr:cNvSpPr>
          </xdr:nvSpPr>
          <xdr:spPr>
            <a:xfrm>
              <a:off x="12636497" y="3871868"/>
              <a:ext cx="1845148" cy="180008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521775</xdr:colOff>
      <xdr:row>13</xdr:row>
      <xdr:rowOff>29571</xdr:rowOff>
    </xdr:from>
    <xdr:to>
      <xdr:col>21</xdr:col>
      <xdr:colOff>345966</xdr:colOff>
      <xdr:row>21</xdr:row>
      <xdr:rowOff>132183</xdr:rowOff>
    </xdr:to>
    <mc:AlternateContent xmlns:mc="http://schemas.openxmlformats.org/markup-compatibility/2006">
      <mc:Choice xmlns:a14="http://schemas.microsoft.com/office/drawing/2010/main" Requires="a14">
        <xdr:graphicFrame macro="">
          <xdr:nvGraphicFramePr>
            <xdr:cNvPr id="12" name="SalarySlab 5">
              <a:extLst>
                <a:ext uri="{FF2B5EF4-FFF2-40B4-BE49-F238E27FC236}">
                  <a16:creationId xmlns:a16="http://schemas.microsoft.com/office/drawing/2014/main" id="{201D21C3-A6A5-4BF5-9808-D1823DE958F0}"/>
                </a:ext>
              </a:extLst>
            </xdr:cNvPr>
            <xdr:cNvGraphicFramePr/>
          </xdr:nvGraphicFramePr>
          <xdr:xfrm>
            <a:off x="0" y="0"/>
            <a:ext cx="0" cy="0"/>
          </xdr:xfrm>
          <a:graphic>
            <a:graphicData uri="http://schemas.microsoft.com/office/drawing/2010/slicer">
              <sle:slicer xmlns:sle="http://schemas.microsoft.com/office/drawing/2010/slicer" name="SalarySlab 5"/>
            </a:graphicData>
          </a:graphic>
        </xdr:graphicFrame>
      </mc:Choice>
      <mc:Fallback>
        <xdr:sp macro="" textlink="">
          <xdr:nvSpPr>
            <xdr:cNvPr id="0" name=""/>
            <xdr:cNvSpPr>
              <a:spLocks noTextEdit="1"/>
            </xdr:cNvSpPr>
          </xdr:nvSpPr>
          <xdr:spPr>
            <a:xfrm>
              <a:off x="12647514" y="2326614"/>
              <a:ext cx="1845148" cy="151617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535147</xdr:colOff>
      <xdr:row>6</xdr:row>
      <xdr:rowOff>165269</xdr:rowOff>
    </xdr:from>
    <xdr:to>
      <xdr:col>21</xdr:col>
      <xdr:colOff>386011</xdr:colOff>
      <xdr:row>13</xdr:row>
      <xdr:rowOff>6935</xdr:rowOff>
    </xdr:to>
    <xdr:sp macro="" textlink="">
      <xdr:nvSpPr>
        <xdr:cNvPr id="13" name="Rectangle 12">
          <a:extLst>
            <a:ext uri="{FF2B5EF4-FFF2-40B4-BE49-F238E27FC236}">
              <a16:creationId xmlns:a16="http://schemas.microsoft.com/office/drawing/2014/main" id="{3FE118DC-C51A-4215-9A2D-9E2E5719C81E}"/>
            </a:ext>
          </a:extLst>
        </xdr:cNvPr>
        <xdr:cNvSpPr/>
      </xdr:nvSpPr>
      <xdr:spPr>
        <a:xfrm>
          <a:off x="12660886" y="1225443"/>
          <a:ext cx="1871821" cy="1078535"/>
        </a:xfrm>
        <a:prstGeom prst="rect">
          <a:avLst/>
        </a:prstGeom>
        <a:solidFill>
          <a:schemeClr val="tx2">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400" b="1">
              <a:solidFill>
                <a:schemeClr val="tx2"/>
              </a:solidFill>
              <a:latin typeface="+mn-lt"/>
              <a:ea typeface="+mn-ea"/>
              <a:cs typeface="+mn-cs"/>
            </a:rPr>
            <a:t>Clear Filters</a:t>
          </a:r>
        </a:p>
      </xdr:txBody>
    </xdr:sp>
    <xdr:clientData/>
  </xdr:twoCellAnchor>
  <xdr:twoCellAnchor editAs="oneCell">
    <xdr:from>
      <xdr:col>19</xdr:col>
      <xdr:colOff>462639</xdr:colOff>
      <xdr:row>8</xdr:row>
      <xdr:rowOff>176682</xdr:rowOff>
    </xdr:from>
    <xdr:to>
      <xdr:col>20</xdr:col>
      <xdr:colOff>444277</xdr:colOff>
      <xdr:row>12</xdr:row>
      <xdr:rowOff>130778</xdr:rowOff>
    </xdr:to>
    <xdr:pic macro="[0]!Module2.Clear_Filters">
      <xdr:nvPicPr>
        <xdr:cNvPr id="14" name="Picture 13">
          <a:extLst>
            <a:ext uri="{FF2B5EF4-FFF2-40B4-BE49-F238E27FC236}">
              <a16:creationId xmlns:a16="http://schemas.microsoft.com/office/drawing/2014/main" id="{B55206A8-261F-4A0F-9C38-1F50AC0F6718}"/>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3262030" y="1590247"/>
          <a:ext cx="655290" cy="660879"/>
        </a:xfrm>
        <a:prstGeom prst="rect">
          <a:avLst/>
        </a:prstGeom>
      </xdr:spPr>
    </xdr:pic>
    <xdr:clientData/>
  </xdr:twoCellAnchor>
  <xdr:twoCellAnchor>
    <xdr:from>
      <xdr:col>4</xdr:col>
      <xdr:colOff>609232</xdr:colOff>
      <xdr:row>20</xdr:row>
      <xdr:rowOff>31299</xdr:rowOff>
    </xdr:from>
    <xdr:to>
      <xdr:col>11</xdr:col>
      <xdr:colOff>503397</xdr:colOff>
      <xdr:row>32</xdr:row>
      <xdr:rowOff>60023</xdr:rowOff>
    </xdr:to>
    <xdr:graphicFrame macro="">
      <xdr:nvGraphicFramePr>
        <xdr:cNvPr id="16" name="Chart 15">
          <a:extLst>
            <a:ext uri="{FF2B5EF4-FFF2-40B4-BE49-F238E27FC236}">
              <a16:creationId xmlns:a16="http://schemas.microsoft.com/office/drawing/2014/main" id="{E9B4B709-D1CF-4DCD-8AD1-EF8A52BD2C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11</xdr:col>
      <xdr:colOff>555473</xdr:colOff>
      <xdr:row>6</xdr:row>
      <xdr:rowOff>153566</xdr:rowOff>
    </xdr:from>
    <xdr:to>
      <xdr:col>18</xdr:col>
      <xdr:colOff>460224</xdr:colOff>
      <xdr:row>19</xdr:row>
      <xdr:rowOff>151874</xdr:rowOff>
    </xdr:to>
    <xdr:graphicFrame macro="">
      <xdr:nvGraphicFramePr>
        <xdr:cNvPr id="18" name="Chart 17">
          <a:extLst>
            <a:ext uri="{FF2B5EF4-FFF2-40B4-BE49-F238E27FC236}">
              <a16:creationId xmlns:a16="http://schemas.microsoft.com/office/drawing/2014/main" id="{B4969BE8-5EB1-45EB-B8B7-72277551D4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598647</xdr:colOff>
      <xdr:row>6</xdr:row>
      <xdr:rowOff>153566</xdr:rowOff>
    </xdr:from>
    <xdr:to>
      <xdr:col>11</xdr:col>
      <xdr:colOff>503397</xdr:colOff>
      <xdr:row>19</xdr:row>
      <xdr:rowOff>167174</xdr:rowOff>
    </xdr:to>
    <xdr:graphicFrame macro="">
      <xdr:nvGraphicFramePr>
        <xdr:cNvPr id="20" name="Chart 19">
          <a:extLst>
            <a:ext uri="{FF2B5EF4-FFF2-40B4-BE49-F238E27FC236}">
              <a16:creationId xmlns:a16="http://schemas.microsoft.com/office/drawing/2014/main" id="{9C3EB311-57BA-41FF-99EC-FA105FF2A9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11</xdr:col>
      <xdr:colOff>566057</xdr:colOff>
      <xdr:row>20</xdr:row>
      <xdr:rowOff>31754</xdr:rowOff>
    </xdr:from>
    <xdr:to>
      <xdr:col>18</xdr:col>
      <xdr:colOff>460224</xdr:colOff>
      <xdr:row>32</xdr:row>
      <xdr:rowOff>60024</xdr:rowOff>
    </xdr:to>
    <xdr:graphicFrame macro="">
      <xdr:nvGraphicFramePr>
        <xdr:cNvPr id="17" name="Chart 16">
          <a:extLst>
            <a:ext uri="{FF2B5EF4-FFF2-40B4-BE49-F238E27FC236}">
              <a16:creationId xmlns:a16="http://schemas.microsoft.com/office/drawing/2014/main" id="{7BD38569-5FB0-47BE-A0BB-B42C4577D3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77305</xdr:colOff>
      <xdr:row>6</xdr:row>
      <xdr:rowOff>132267</xdr:rowOff>
    </xdr:from>
    <xdr:to>
      <xdr:col>4</xdr:col>
      <xdr:colOff>565970</xdr:colOff>
      <xdr:row>14</xdr:row>
      <xdr:rowOff>14489</xdr:rowOff>
    </xdr:to>
    <xdr:sp macro="" textlink="">
      <xdr:nvSpPr>
        <xdr:cNvPr id="21" name="Rectangle 20">
          <a:extLst>
            <a:ext uri="{FF2B5EF4-FFF2-40B4-BE49-F238E27FC236}">
              <a16:creationId xmlns:a16="http://schemas.microsoft.com/office/drawing/2014/main" id="{EE7B40F0-3D56-4E77-B559-4146695136F8}"/>
            </a:ext>
          </a:extLst>
        </xdr:cNvPr>
        <xdr:cNvSpPr/>
      </xdr:nvSpPr>
      <xdr:spPr>
        <a:xfrm>
          <a:off x="750957" y="1192441"/>
          <a:ext cx="2509622" cy="1295787"/>
        </a:xfrm>
        <a:prstGeom prst="rect">
          <a:avLst/>
        </a:prstGeom>
        <a:solidFill>
          <a:schemeClr val="tx2">
            <a:lumMod val="20000"/>
            <a:lumOff val="80000"/>
          </a:schemeClr>
        </a:solidFill>
        <a:effectLst>
          <a:outerShdw blurRad="50800" dist="38100" dir="2700000" algn="tl" rotWithShape="0">
            <a:schemeClr val="bg2">
              <a:lumMod val="20000"/>
              <a:lumOff val="80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l"/>
          <a:r>
            <a:rPr lang="en-US" sz="1800" b="1">
              <a:solidFill>
                <a:schemeClr val="tx2"/>
              </a:solidFill>
              <a:latin typeface="+mn-lt"/>
              <a:ea typeface="+mn-ea"/>
              <a:cs typeface="+mn-cs"/>
            </a:rPr>
            <a:t>Total</a:t>
          </a:r>
          <a:r>
            <a:rPr lang="en-US" sz="1800" b="1">
              <a:solidFill>
                <a:srgbClr val="156E99"/>
              </a:solidFill>
            </a:rPr>
            <a:t> </a:t>
          </a:r>
          <a:r>
            <a:rPr lang="en-US" sz="1800" b="1">
              <a:solidFill>
                <a:schemeClr val="tx2"/>
              </a:solidFill>
              <a:latin typeface="+mn-lt"/>
              <a:ea typeface="+mn-ea"/>
              <a:cs typeface="+mn-cs"/>
            </a:rPr>
            <a:t>Employess</a:t>
          </a:r>
        </a:p>
      </xdr:txBody>
    </xdr:sp>
    <xdr:clientData/>
  </xdr:twoCellAnchor>
  <xdr:oneCellAnchor>
    <xdr:from>
      <xdr:col>1</xdr:col>
      <xdr:colOff>301397</xdr:colOff>
      <xdr:row>8</xdr:row>
      <xdr:rowOff>75536</xdr:rowOff>
    </xdr:from>
    <xdr:ext cx="1169275" cy="670034"/>
    <xdr:sp macro="" textlink="'Pivot Table'!A3">
      <xdr:nvSpPr>
        <xdr:cNvPr id="22" name="TextBox 21">
          <a:extLst>
            <a:ext uri="{FF2B5EF4-FFF2-40B4-BE49-F238E27FC236}">
              <a16:creationId xmlns:a16="http://schemas.microsoft.com/office/drawing/2014/main" id="{E3A642E3-40A5-48BA-8EA0-0AA8B2D2A7F4}"/>
            </a:ext>
          </a:extLst>
        </xdr:cNvPr>
        <xdr:cNvSpPr txBox="1"/>
      </xdr:nvSpPr>
      <xdr:spPr>
        <a:xfrm>
          <a:off x="975049" y="1489101"/>
          <a:ext cx="1169275" cy="6700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6F819960-797B-406A-848D-D081A51689F7}" type="TxLink">
            <a:rPr lang="en-US" sz="2800" b="0" i="0" u="none" strike="noStrike">
              <a:solidFill>
                <a:schemeClr val="tx2"/>
              </a:solidFill>
              <a:latin typeface="Century Gothic"/>
              <a:ea typeface="+mn-ea"/>
              <a:cs typeface="+mn-cs"/>
            </a:rPr>
            <a:pPr marL="0" indent="0"/>
            <a:t>1480</a:t>
          </a:fld>
          <a:endParaRPr lang="en-US" sz="2800" b="0" i="0" u="none" strike="noStrike">
            <a:solidFill>
              <a:schemeClr val="tx2"/>
            </a:solidFill>
            <a:latin typeface="Century Gothic"/>
            <a:ea typeface="+mn-ea"/>
            <a:cs typeface="+mn-cs"/>
          </a:endParaRPr>
        </a:p>
      </xdr:txBody>
    </xdr:sp>
    <xdr:clientData/>
  </xdr:oneCellAnchor>
  <xdr:twoCellAnchor>
    <xdr:from>
      <xdr:col>1</xdr:col>
      <xdr:colOff>77305</xdr:colOff>
      <xdr:row>15</xdr:row>
      <xdr:rowOff>165397</xdr:rowOff>
    </xdr:from>
    <xdr:to>
      <xdr:col>4</xdr:col>
      <xdr:colOff>565970</xdr:colOff>
      <xdr:row>23</xdr:row>
      <xdr:rowOff>38733</xdr:rowOff>
    </xdr:to>
    <xdr:sp macro="" textlink="">
      <xdr:nvSpPr>
        <xdr:cNvPr id="23" name="Rectangle 22">
          <a:extLst>
            <a:ext uri="{FF2B5EF4-FFF2-40B4-BE49-F238E27FC236}">
              <a16:creationId xmlns:a16="http://schemas.microsoft.com/office/drawing/2014/main" id="{1C12F180-EE3B-42B8-B0B6-3B355B20EF51}"/>
            </a:ext>
          </a:extLst>
        </xdr:cNvPr>
        <xdr:cNvSpPr/>
      </xdr:nvSpPr>
      <xdr:spPr>
        <a:xfrm>
          <a:off x="750957" y="2815832"/>
          <a:ext cx="2509622" cy="1286901"/>
        </a:xfrm>
        <a:prstGeom prst="rect">
          <a:avLst/>
        </a:prstGeom>
        <a:solidFill>
          <a:schemeClr val="tx2">
            <a:lumMod val="20000"/>
            <a:lumOff val="80000"/>
          </a:schemeClr>
        </a:solidFill>
        <a:effectLst>
          <a:outerShdw blurRad="50800" dist="38100" dir="2700000" algn="tl" rotWithShape="0">
            <a:schemeClr val="bg2">
              <a:lumMod val="20000"/>
              <a:lumOff val="80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1800" b="1">
              <a:solidFill>
                <a:schemeClr val="tx2"/>
              </a:solidFill>
              <a:latin typeface="+mn-lt"/>
              <a:ea typeface="+mn-ea"/>
              <a:cs typeface="+mn-cs"/>
            </a:rPr>
            <a:t>Attrition Rate</a:t>
          </a:r>
        </a:p>
      </xdr:txBody>
    </xdr:sp>
    <xdr:clientData/>
  </xdr:twoCellAnchor>
  <xdr:twoCellAnchor>
    <xdr:from>
      <xdr:col>1</xdr:col>
      <xdr:colOff>218800</xdr:colOff>
      <xdr:row>17</xdr:row>
      <xdr:rowOff>105506</xdr:rowOff>
    </xdr:from>
    <xdr:to>
      <xdr:col>2</xdr:col>
      <xdr:colOff>658746</xdr:colOff>
      <xdr:row>20</xdr:row>
      <xdr:rowOff>75755</xdr:rowOff>
    </xdr:to>
    <xdr:sp macro="" textlink="'Pivot Table'!C4">
      <xdr:nvSpPr>
        <xdr:cNvPr id="24" name="TextBox 23">
          <a:extLst>
            <a:ext uri="{FF2B5EF4-FFF2-40B4-BE49-F238E27FC236}">
              <a16:creationId xmlns:a16="http://schemas.microsoft.com/office/drawing/2014/main" id="{8CBABBA9-2646-4064-B8CE-5D9A14946208}"/>
            </a:ext>
          </a:extLst>
        </xdr:cNvPr>
        <xdr:cNvSpPr txBox="1"/>
      </xdr:nvSpPr>
      <xdr:spPr>
        <a:xfrm>
          <a:off x="892452" y="3109332"/>
          <a:ext cx="1113598" cy="500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110458DC-C728-44E8-9C83-06355232EB6A}" type="TxLink">
            <a:rPr lang="en-US" sz="2800" b="0" i="0" u="none" strike="noStrike">
              <a:solidFill>
                <a:schemeClr val="tx2"/>
              </a:solidFill>
              <a:latin typeface="Century Gothic"/>
              <a:ea typeface="+mn-ea"/>
              <a:cs typeface="+mn-cs"/>
            </a:rPr>
            <a:pPr marL="0" indent="0"/>
            <a:t>16%</a:t>
          </a:fld>
          <a:endParaRPr lang="en-US" sz="2800" b="0" i="0" u="none" strike="noStrike">
            <a:solidFill>
              <a:schemeClr val="tx2"/>
            </a:solidFill>
            <a:latin typeface="Century Gothic"/>
            <a:ea typeface="+mn-ea"/>
            <a:cs typeface="+mn-cs"/>
          </a:endParaRPr>
        </a:p>
      </xdr:txBody>
    </xdr:sp>
    <xdr:clientData/>
  </xdr:twoCellAnchor>
  <xdr:twoCellAnchor>
    <xdr:from>
      <xdr:col>1</xdr:col>
      <xdr:colOff>77305</xdr:colOff>
      <xdr:row>25</xdr:row>
      <xdr:rowOff>19378</xdr:rowOff>
    </xdr:from>
    <xdr:to>
      <xdr:col>4</xdr:col>
      <xdr:colOff>565970</xdr:colOff>
      <xdr:row>32</xdr:row>
      <xdr:rowOff>21834</xdr:rowOff>
    </xdr:to>
    <xdr:sp macro="" textlink="">
      <xdr:nvSpPr>
        <xdr:cNvPr id="25" name="Rectangle 24">
          <a:extLst>
            <a:ext uri="{FF2B5EF4-FFF2-40B4-BE49-F238E27FC236}">
              <a16:creationId xmlns:a16="http://schemas.microsoft.com/office/drawing/2014/main" id="{E013BCE6-C9DF-4666-BDDA-95CE7477ABD8}"/>
            </a:ext>
          </a:extLst>
        </xdr:cNvPr>
        <xdr:cNvSpPr/>
      </xdr:nvSpPr>
      <xdr:spPr>
        <a:xfrm>
          <a:off x="750957" y="4436769"/>
          <a:ext cx="2509622" cy="1239326"/>
        </a:xfrm>
        <a:prstGeom prst="rect">
          <a:avLst/>
        </a:prstGeom>
        <a:solidFill>
          <a:schemeClr val="tx2">
            <a:lumMod val="20000"/>
            <a:lumOff val="80000"/>
          </a:schemeClr>
        </a:solidFill>
        <a:effectLst>
          <a:outerShdw blurRad="50800" dist="38100" dir="2700000" algn="tl" rotWithShape="0">
            <a:schemeClr val="bg2">
              <a:lumMod val="20000"/>
              <a:lumOff val="80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l"/>
          <a:r>
            <a:rPr lang="en-US" sz="1800" b="1">
              <a:solidFill>
                <a:schemeClr val="tx2"/>
              </a:solidFill>
              <a:latin typeface="+mn-lt"/>
              <a:ea typeface="+mn-ea"/>
              <a:cs typeface="+mn-cs"/>
            </a:rPr>
            <a:t>Overtime Rate</a:t>
          </a:r>
        </a:p>
      </xdr:txBody>
    </xdr:sp>
    <xdr:clientData/>
  </xdr:twoCellAnchor>
  <xdr:twoCellAnchor>
    <xdr:from>
      <xdr:col>1</xdr:col>
      <xdr:colOff>238507</xdr:colOff>
      <xdr:row>25</xdr:row>
      <xdr:rowOff>164560</xdr:rowOff>
    </xdr:from>
    <xdr:to>
      <xdr:col>2</xdr:col>
      <xdr:colOff>639039</xdr:colOff>
      <xdr:row>29</xdr:row>
      <xdr:rowOff>36941</xdr:rowOff>
    </xdr:to>
    <xdr:sp macro="" textlink="'Pivot Table'!E4">
      <xdr:nvSpPr>
        <xdr:cNvPr id="26" name="TextBox 25">
          <a:extLst>
            <a:ext uri="{FF2B5EF4-FFF2-40B4-BE49-F238E27FC236}">
              <a16:creationId xmlns:a16="http://schemas.microsoft.com/office/drawing/2014/main" id="{FE6BECCF-67BD-4A19-93C4-D78A5BC56DDB}"/>
            </a:ext>
          </a:extLst>
        </xdr:cNvPr>
        <xdr:cNvSpPr txBox="1"/>
      </xdr:nvSpPr>
      <xdr:spPr>
        <a:xfrm>
          <a:off x="912159" y="4581951"/>
          <a:ext cx="1074184" cy="5791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1AEA5FCE-70D3-41A3-BB38-D341CFE1FA97}" type="TxLink">
            <a:rPr lang="en-US" sz="2800" b="0" i="0" u="none" strike="noStrike">
              <a:solidFill>
                <a:schemeClr val="tx2"/>
              </a:solidFill>
              <a:latin typeface="Century Gothic"/>
              <a:ea typeface="+mn-ea"/>
              <a:cs typeface="+mn-cs"/>
            </a:rPr>
            <a:pPr marL="0" indent="0"/>
            <a:t>28%</a:t>
          </a:fld>
          <a:endParaRPr lang="en-US" sz="2800" b="0" i="0" u="none" strike="noStrike">
            <a:solidFill>
              <a:schemeClr val="tx2"/>
            </a:solidFill>
            <a:latin typeface="Century Gothic"/>
            <a:ea typeface="+mn-ea"/>
            <a:cs typeface="+mn-cs"/>
          </a:endParaRPr>
        </a:p>
      </xdr:txBody>
    </xdr:sp>
    <xdr:clientData/>
  </xdr:twoCellAnchor>
  <xdr:twoCellAnchor editAs="oneCell">
    <xdr:from>
      <xdr:col>3</xdr:col>
      <xdr:colOff>77303</xdr:colOff>
      <xdr:row>7</xdr:row>
      <xdr:rowOff>10790</xdr:rowOff>
    </xdr:from>
    <xdr:to>
      <xdr:col>4</xdr:col>
      <xdr:colOff>375477</xdr:colOff>
      <xdr:row>12</xdr:row>
      <xdr:rowOff>99138</xdr:rowOff>
    </xdr:to>
    <xdr:pic>
      <xdr:nvPicPr>
        <xdr:cNvPr id="28" name="Picture 27">
          <a:extLst>
            <a:ext uri="{FF2B5EF4-FFF2-40B4-BE49-F238E27FC236}">
              <a16:creationId xmlns:a16="http://schemas.microsoft.com/office/drawing/2014/main" id="{A5AEA08C-2A88-2511-DAA5-8D7C64E52EF3}"/>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2098260" y="1247660"/>
          <a:ext cx="971826" cy="971826"/>
        </a:xfrm>
        <a:prstGeom prst="rect">
          <a:avLst/>
        </a:prstGeom>
      </xdr:spPr>
    </xdr:pic>
    <xdr:clientData/>
  </xdr:twoCellAnchor>
  <xdr:twoCellAnchor editAs="oneCell">
    <xdr:from>
      <xdr:col>3</xdr:col>
      <xdr:colOff>231912</xdr:colOff>
      <xdr:row>17</xdr:row>
      <xdr:rowOff>21833</xdr:rowOff>
    </xdr:from>
    <xdr:to>
      <xdr:col>4</xdr:col>
      <xdr:colOff>382665</xdr:colOff>
      <xdr:row>22</xdr:row>
      <xdr:rowOff>8021</xdr:rowOff>
    </xdr:to>
    <xdr:pic>
      <xdr:nvPicPr>
        <xdr:cNvPr id="29" name="Picture 28">
          <a:extLst>
            <a:ext uri="{FF2B5EF4-FFF2-40B4-BE49-F238E27FC236}">
              <a16:creationId xmlns:a16="http://schemas.microsoft.com/office/drawing/2014/main" id="{120437A6-7B64-4198-8BB9-5544F87881F3}"/>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flipH="1">
          <a:off x="2252869" y="3025659"/>
          <a:ext cx="824405" cy="869666"/>
        </a:xfrm>
        <a:prstGeom prst="rect">
          <a:avLst/>
        </a:prstGeom>
      </xdr:spPr>
    </xdr:pic>
    <xdr:clientData/>
  </xdr:twoCellAnchor>
  <xdr:twoCellAnchor editAs="oneCell">
    <xdr:from>
      <xdr:col>3</xdr:col>
      <xdr:colOff>198782</xdr:colOff>
      <xdr:row>25</xdr:row>
      <xdr:rowOff>63552</xdr:rowOff>
    </xdr:from>
    <xdr:to>
      <xdr:col>4</xdr:col>
      <xdr:colOff>425052</xdr:colOff>
      <xdr:row>30</xdr:row>
      <xdr:rowOff>138020</xdr:rowOff>
    </xdr:to>
    <xdr:pic>
      <xdr:nvPicPr>
        <xdr:cNvPr id="30" name="Picture 29">
          <a:extLst>
            <a:ext uri="{FF2B5EF4-FFF2-40B4-BE49-F238E27FC236}">
              <a16:creationId xmlns:a16="http://schemas.microsoft.com/office/drawing/2014/main" id="{9BFE782E-AAE2-4F9C-85F1-E7F40108BECE}"/>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flipH="1">
          <a:off x="2219739" y="4480943"/>
          <a:ext cx="899922" cy="95794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630852</xdr:colOff>
      <xdr:row>0</xdr:row>
      <xdr:rowOff>3</xdr:rowOff>
    </xdr:from>
    <xdr:to>
      <xdr:col>24</xdr:col>
      <xdr:colOff>268288</xdr:colOff>
      <xdr:row>37</xdr:row>
      <xdr:rowOff>82862</xdr:rowOff>
    </xdr:to>
    <xdr:sp macro="" textlink="">
      <xdr:nvSpPr>
        <xdr:cNvPr id="2" name="Rectangle 1">
          <a:extLst>
            <a:ext uri="{FF2B5EF4-FFF2-40B4-BE49-F238E27FC236}">
              <a16:creationId xmlns:a16="http://schemas.microsoft.com/office/drawing/2014/main" id="{3147FC12-CE0D-4687-AF2D-BC54F14B7311}"/>
            </a:ext>
          </a:extLst>
        </xdr:cNvPr>
        <xdr:cNvSpPr/>
      </xdr:nvSpPr>
      <xdr:spPr>
        <a:xfrm>
          <a:off x="630852" y="3"/>
          <a:ext cx="15718264" cy="6402204"/>
        </a:xfrm>
        <a:prstGeom prst="rect">
          <a:avLst/>
        </a:prstGeom>
        <a:solidFill>
          <a:schemeClr val="accent1">
            <a:lumMod val="75000"/>
          </a:schemeClr>
        </a:solidFill>
        <a:ln>
          <a:solidFill>
            <a:schemeClr val="bg1"/>
          </a:solidFill>
        </a:ln>
        <a:effectLst>
          <a:outerShdw blurRad="50800" dist="38100" dir="18900000" algn="bl" rotWithShape="0">
            <a:schemeClr val="accent1">
              <a:lumMod val="60000"/>
              <a:lumOff val="40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922</xdr:colOff>
      <xdr:row>0</xdr:row>
      <xdr:rowOff>0</xdr:rowOff>
    </xdr:from>
    <xdr:to>
      <xdr:col>24</xdr:col>
      <xdr:colOff>254919</xdr:colOff>
      <xdr:row>6</xdr:row>
      <xdr:rowOff>64478</xdr:rowOff>
    </xdr:to>
    <xdr:sp macro="" textlink="">
      <xdr:nvSpPr>
        <xdr:cNvPr id="3" name="Rectangle: Top Corners Rounded 2">
          <a:extLst>
            <a:ext uri="{FF2B5EF4-FFF2-40B4-BE49-F238E27FC236}">
              <a16:creationId xmlns:a16="http://schemas.microsoft.com/office/drawing/2014/main" id="{24DC54CA-A881-4C4D-8853-B9F6BC0C6BB8}"/>
            </a:ext>
          </a:extLst>
        </xdr:cNvPr>
        <xdr:cNvSpPr/>
      </xdr:nvSpPr>
      <xdr:spPr>
        <a:xfrm rot="10800000">
          <a:off x="670956" y="0"/>
          <a:ext cx="15664791" cy="1089237"/>
        </a:xfrm>
        <a:prstGeom prst="round2SameRect">
          <a:avLst/>
        </a:prstGeom>
        <a:solidFill>
          <a:srgbClr val="0E76B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27659</xdr:colOff>
      <xdr:row>5</xdr:row>
      <xdr:rowOff>95452</xdr:rowOff>
    </xdr:from>
    <xdr:to>
      <xdr:col>24</xdr:col>
      <xdr:colOff>268288</xdr:colOff>
      <xdr:row>6</xdr:row>
      <xdr:rowOff>96231</xdr:rowOff>
    </xdr:to>
    <xdr:sp macro="" textlink="">
      <xdr:nvSpPr>
        <xdr:cNvPr id="4" name="Rectangle 3">
          <a:extLst>
            <a:ext uri="{FF2B5EF4-FFF2-40B4-BE49-F238E27FC236}">
              <a16:creationId xmlns:a16="http://schemas.microsoft.com/office/drawing/2014/main" id="{837B8658-B2ED-4BA7-857F-760F15A96BCC}"/>
            </a:ext>
          </a:extLst>
        </xdr:cNvPr>
        <xdr:cNvSpPr/>
      </xdr:nvSpPr>
      <xdr:spPr>
        <a:xfrm>
          <a:off x="697693" y="949418"/>
          <a:ext cx="15651423" cy="171572"/>
        </a:xfrm>
        <a:prstGeom prst="rect">
          <a:avLst/>
        </a:prstGeom>
        <a:solidFill>
          <a:schemeClr val="tx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668403</xdr:colOff>
      <xdr:row>0</xdr:row>
      <xdr:rowOff>22322</xdr:rowOff>
    </xdr:from>
    <xdr:to>
      <xdr:col>10</xdr:col>
      <xdr:colOff>100703</xdr:colOff>
      <xdr:row>5</xdr:row>
      <xdr:rowOff>81192</xdr:rowOff>
    </xdr:to>
    <xdr:sp macro="" textlink="">
      <xdr:nvSpPr>
        <xdr:cNvPr id="5" name="Rectangle 4">
          <a:hlinkClick xmlns:r="http://schemas.openxmlformats.org/officeDocument/2006/relationships" r:id="rId1"/>
          <a:extLst>
            <a:ext uri="{FF2B5EF4-FFF2-40B4-BE49-F238E27FC236}">
              <a16:creationId xmlns:a16="http://schemas.microsoft.com/office/drawing/2014/main" id="{00814259-9D3C-4426-BA9F-6F3A3282C1B0}"/>
            </a:ext>
          </a:extLst>
        </xdr:cNvPr>
        <xdr:cNvSpPr/>
      </xdr:nvSpPr>
      <xdr:spPr>
        <a:xfrm>
          <a:off x="5358644" y="22322"/>
          <a:ext cx="1442404" cy="912836"/>
        </a:xfrm>
        <a:prstGeom prst="rect">
          <a:avLst/>
        </a:prstGeom>
        <a:solidFill>
          <a:srgbClr val="0E76B6"/>
        </a:solidFill>
        <a:ln>
          <a:noFill/>
        </a:ln>
        <a:effectLst/>
        <a:scene3d>
          <a:camera prst="orthographicFront"/>
          <a:lightRig rig="threePt" dir="t"/>
        </a:scene3d>
        <a:sp3d>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en-US" sz="1200" b="1">
              <a:solidFill>
                <a:schemeClr val="lt1"/>
              </a:solidFill>
              <a:latin typeface="+mn-lt"/>
              <a:ea typeface="+mn-ea"/>
              <a:cs typeface="+mn-cs"/>
            </a:rPr>
            <a:t>Overview</a:t>
          </a:r>
        </a:p>
      </xdr:txBody>
    </xdr:sp>
    <xdr:clientData/>
  </xdr:twoCellAnchor>
  <xdr:twoCellAnchor>
    <xdr:from>
      <xdr:col>11</xdr:col>
      <xdr:colOff>98193</xdr:colOff>
      <xdr:row>0</xdr:row>
      <xdr:rowOff>22321</xdr:rowOff>
    </xdr:from>
    <xdr:to>
      <xdr:col>13</xdr:col>
      <xdr:colOff>372873</xdr:colOff>
      <xdr:row>5</xdr:row>
      <xdr:rowOff>78514</xdr:rowOff>
    </xdr:to>
    <xdr:sp macro="" textlink="">
      <xdr:nvSpPr>
        <xdr:cNvPr id="6" name="Rectangle 5">
          <a:hlinkClick xmlns:r="http://schemas.openxmlformats.org/officeDocument/2006/relationships" r:id="rId2"/>
          <a:extLst>
            <a:ext uri="{FF2B5EF4-FFF2-40B4-BE49-F238E27FC236}">
              <a16:creationId xmlns:a16="http://schemas.microsoft.com/office/drawing/2014/main" id="{462A5223-0394-4282-997E-D6D90E278785}"/>
            </a:ext>
          </a:extLst>
        </xdr:cNvPr>
        <xdr:cNvSpPr/>
      </xdr:nvSpPr>
      <xdr:spPr>
        <a:xfrm>
          <a:off x="7468572" y="22321"/>
          <a:ext cx="1614749" cy="910159"/>
        </a:xfrm>
        <a:prstGeom prst="rect">
          <a:avLst/>
        </a:prstGeom>
        <a:solidFill>
          <a:srgbClr val="0E76B6"/>
        </a:solidFill>
        <a:ln>
          <a:noFill/>
        </a:ln>
        <a:effectLst/>
        <a:scene3d>
          <a:camera prst="orthographicFront"/>
          <a:lightRig rig="threePt" dir="t"/>
        </a:scene3d>
        <a:sp3d>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en-US" sz="1200" b="1">
              <a:solidFill>
                <a:schemeClr val="lt1"/>
              </a:solidFill>
              <a:latin typeface="+mn-lt"/>
              <a:ea typeface="+mn-ea"/>
              <a:cs typeface="+mn-cs"/>
            </a:rPr>
            <a:t>Department</a:t>
          </a:r>
        </a:p>
      </xdr:txBody>
    </xdr:sp>
    <xdr:clientData/>
  </xdr:twoCellAnchor>
  <xdr:twoCellAnchor>
    <xdr:from>
      <xdr:col>14</xdr:col>
      <xdr:colOff>268979</xdr:colOff>
      <xdr:row>0</xdr:row>
      <xdr:rowOff>22321</xdr:rowOff>
    </xdr:from>
    <xdr:to>
      <xdr:col>16</xdr:col>
      <xdr:colOff>371472</xdr:colOff>
      <xdr:row>5</xdr:row>
      <xdr:rowOff>106814</xdr:rowOff>
    </xdr:to>
    <xdr:sp macro="" textlink="">
      <xdr:nvSpPr>
        <xdr:cNvPr id="7" name="Rectangle 6">
          <a:hlinkClick xmlns:r="http://schemas.openxmlformats.org/officeDocument/2006/relationships" r:id="rId3"/>
          <a:extLst>
            <a:ext uri="{FF2B5EF4-FFF2-40B4-BE49-F238E27FC236}">
              <a16:creationId xmlns:a16="http://schemas.microsoft.com/office/drawing/2014/main" id="{4DD5EDA1-E753-40E1-8C16-ED32B82FBD70}"/>
            </a:ext>
          </a:extLst>
        </xdr:cNvPr>
        <xdr:cNvSpPr/>
      </xdr:nvSpPr>
      <xdr:spPr>
        <a:xfrm>
          <a:off x="9649462" y="22321"/>
          <a:ext cx="1442562" cy="938459"/>
        </a:xfrm>
        <a:prstGeom prst="rect">
          <a:avLst/>
        </a:prstGeom>
        <a:solidFill>
          <a:schemeClr val="tx2">
            <a:lumMod val="75000"/>
          </a:schemeClr>
        </a:solidFill>
        <a:ln>
          <a:noFill/>
        </a:ln>
        <a:effectLst/>
        <a:scene3d>
          <a:camera prst="orthographicFront"/>
          <a:lightRig rig="threePt" dir="t"/>
        </a:scene3d>
        <a:sp3d>
          <a:bevelB/>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en-US" sz="1200" b="1">
              <a:solidFill>
                <a:schemeClr val="lt1"/>
              </a:solidFill>
              <a:latin typeface="+mn-lt"/>
              <a:ea typeface="+mn-ea"/>
              <a:cs typeface="+mn-cs"/>
            </a:rPr>
            <a:t>Employee</a:t>
          </a:r>
        </a:p>
      </xdr:txBody>
    </xdr:sp>
    <xdr:clientData/>
  </xdr:twoCellAnchor>
  <xdr:twoCellAnchor editAs="oneCell">
    <xdr:from>
      <xdr:col>8</xdr:col>
      <xdr:colOff>583000</xdr:colOff>
      <xdr:row>0</xdr:row>
      <xdr:rowOff>130222</xdr:rowOff>
    </xdr:from>
    <xdr:to>
      <xdr:col>9</xdr:col>
      <xdr:colOff>371778</xdr:colOff>
      <xdr:row>3</xdr:row>
      <xdr:rowOff>64765</xdr:rowOff>
    </xdr:to>
    <xdr:pic>
      <xdr:nvPicPr>
        <xdr:cNvPr id="8" name="Picture 7">
          <a:extLst>
            <a:ext uri="{FF2B5EF4-FFF2-40B4-BE49-F238E27FC236}">
              <a16:creationId xmlns:a16="http://schemas.microsoft.com/office/drawing/2014/main" id="{7513198A-D0A6-4597-8A6F-EAC19AF9176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943276" y="130222"/>
          <a:ext cx="458812" cy="446922"/>
        </a:xfrm>
        <a:prstGeom prst="rect">
          <a:avLst/>
        </a:prstGeom>
      </xdr:spPr>
    </xdr:pic>
    <xdr:clientData/>
  </xdr:twoCellAnchor>
  <xdr:twoCellAnchor editAs="oneCell">
    <xdr:from>
      <xdr:col>11</xdr:col>
      <xdr:colOff>594994</xdr:colOff>
      <xdr:row>0</xdr:row>
      <xdr:rowOff>140382</xdr:rowOff>
    </xdr:from>
    <xdr:to>
      <xdr:col>12</xdr:col>
      <xdr:colOff>510717</xdr:colOff>
      <xdr:row>3</xdr:row>
      <xdr:rowOff>155560</xdr:rowOff>
    </xdr:to>
    <xdr:pic>
      <xdr:nvPicPr>
        <xdr:cNvPr id="9" name="Picture 8">
          <a:extLst>
            <a:ext uri="{FF2B5EF4-FFF2-40B4-BE49-F238E27FC236}">
              <a16:creationId xmlns:a16="http://schemas.microsoft.com/office/drawing/2014/main" id="{ABF7E4ED-4BF3-4ABC-9EAD-ECB9B0AE413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965373" y="140382"/>
          <a:ext cx="585758" cy="527557"/>
        </a:xfrm>
        <a:prstGeom prst="rect">
          <a:avLst/>
        </a:prstGeom>
      </xdr:spPr>
    </xdr:pic>
    <xdr:clientData/>
  </xdr:twoCellAnchor>
  <xdr:twoCellAnchor editAs="oneCell">
    <xdr:from>
      <xdr:col>15</xdr:col>
      <xdr:colOff>37478</xdr:colOff>
      <xdr:row>0</xdr:row>
      <xdr:rowOff>90227</xdr:rowOff>
    </xdr:from>
    <xdr:to>
      <xdr:col>15</xdr:col>
      <xdr:colOff>640861</xdr:colOff>
      <xdr:row>3</xdr:row>
      <xdr:rowOff>104761</xdr:rowOff>
    </xdr:to>
    <xdr:pic>
      <xdr:nvPicPr>
        <xdr:cNvPr id="10" name="Picture 9">
          <a:extLst>
            <a:ext uri="{FF2B5EF4-FFF2-40B4-BE49-F238E27FC236}">
              <a16:creationId xmlns:a16="http://schemas.microsoft.com/office/drawing/2014/main" id="{EE5246FA-2731-4779-B020-3C1A0B45DAC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0087995" y="90227"/>
          <a:ext cx="603383" cy="526913"/>
        </a:xfrm>
        <a:prstGeom prst="rect">
          <a:avLst/>
        </a:prstGeom>
      </xdr:spPr>
    </xdr:pic>
    <xdr:clientData/>
  </xdr:twoCellAnchor>
  <xdr:twoCellAnchor editAs="oneCell">
    <xdr:from>
      <xdr:col>21</xdr:col>
      <xdr:colOff>420802</xdr:colOff>
      <xdr:row>22</xdr:row>
      <xdr:rowOff>42758</xdr:rowOff>
    </xdr:from>
    <xdr:to>
      <xdr:col>24</xdr:col>
      <xdr:colOff>250224</xdr:colOff>
      <xdr:row>36</xdr:row>
      <xdr:rowOff>136336</xdr:rowOff>
    </xdr:to>
    <mc:AlternateContent xmlns:mc="http://schemas.openxmlformats.org/markup-compatibility/2006">
      <mc:Choice xmlns:a14="http://schemas.microsoft.com/office/drawing/2010/main" Requires="a14">
        <xdr:graphicFrame macro="">
          <xdr:nvGraphicFramePr>
            <xdr:cNvPr id="11" name="Department 6">
              <a:extLst>
                <a:ext uri="{FF2B5EF4-FFF2-40B4-BE49-F238E27FC236}">
                  <a16:creationId xmlns:a16="http://schemas.microsoft.com/office/drawing/2014/main" id="{6DD0C2BC-FB3E-4C97-A399-361BF980BF70}"/>
                </a:ext>
              </a:extLst>
            </xdr:cNvPr>
            <xdr:cNvGraphicFramePr/>
          </xdr:nvGraphicFramePr>
          <xdr:xfrm>
            <a:off x="0" y="0"/>
            <a:ext cx="0" cy="0"/>
          </xdr:xfrm>
          <a:graphic>
            <a:graphicData uri="http://schemas.microsoft.com/office/drawing/2010/slicer">
              <sle:slicer xmlns:sle="http://schemas.microsoft.com/office/drawing/2010/slicer" name="Department 6"/>
            </a:graphicData>
          </a:graphic>
        </xdr:graphicFrame>
      </mc:Choice>
      <mc:Fallback>
        <xdr:sp macro="" textlink="">
          <xdr:nvSpPr>
            <xdr:cNvPr id="0" name=""/>
            <xdr:cNvSpPr>
              <a:spLocks noTextEdit="1"/>
            </xdr:cNvSpPr>
          </xdr:nvSpPr>
          <xdr:spPr>
            <a:xfrm>
              <a:off x="14491526" y="3800206"/>
              <a:ext cx="1839526" cy="248468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431819</xdr:colOff>
      <xdr:row>13</xdr:row>
      <xdr:rowOff>96232</xdr:rowOff>
    </xdr:from>
    <xdr:to>
      <xdr:col>24</xdr:col>
      <xdr:colOff>261241</xdr:colOff>
      <xdr:row>22</xdr:row>
      <xdr:rowOff>29389</xdr:rowOff>
    </xdr:to>
    <mc:AlternateContent xmlns:mc="http://schemas.openxmlformats.org/markup-compatibility/2006">
      <mc:Choice xmlns:a14="http://schemas.microsoft.com/office/drawing/2010/main" Requires="a14">
        <xdr:graphicFrame macro="">
          <xdr:nvGraphicFramePr>
            <xdr:cNvPr id="12" name="SalarySlab 6">
              <a:extLst>
                <a:ext uri="{FF2B5EF4-FFF2-40B4-BE49-F238E27FC236}">
                  <a16:creationId xmlns:a16="http://schemas.microsoft.com/office/drawing/2014/main" id="{A703CF68-1305-46D2-9045-6680FA841FF2}"/>
                </a:ext>
              </a:extLst>
            </xdr:cNvPr>
            <xdr:cNvGraphicFramePr/>
          </xdr:nvGraphicFramePr>
          <xdr:xfrm>
            <a:off x="0" y="0"/>
            <a:ext cx="0" cy="0"/>
          </xdr:xfrm>
          <a:graphic>
            <a:graphicData uri="http://schemas.microsoft.com/office/drawing/2010/slicer">
              <sle:slicer xmlns:sle="http://schemas.microsoft.com/office/drawing/2010/slicer" name="SalarySlab 6"/>
            </a:graphicData>
          </a:graphic>
        </xdr:graphicFrame>
      </mc:Choice>
      <mc:Fallback>
        <xdr:sp macro="" textlink="">
          <xdr:nvSpPr>
            <xdr:cNvPr id="0" name=""/>
            <xdr:cNvSpPr>
              <a:spLocks noTextEdit="1"/>
            </xdr:cNvSpPr>
          </xdr:nvSpPr>
          <xdr:spPr>
            <a:xfrm>
              <a:off x="14502543" y="2316542"/>
              <a:ext cx="1839526" cy="147029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21</xdr:col>
      <xdr:colOff>438180</xdr:colOff>
      <xdr:row>7</xdr:row>
      <xdr:rowOff>29388</xdr:rowOff>
    </xdr:from>
    <xdr:to>
      <xdr:col>24</xdr:col>
      <xdr:colOff>272322</xdr:colOff>
      <xdr:row>13</xdr:row>
      <xdr:rowOff>96230</xdr:rowOff>
    </xdr:to>
    <xdr:sp macro="" textlink="">
      <xdr:nvSpPr>
        <xdr:cNvPr id="13" name="Rectangle 12">
          <a:extLst>
            <a:ext uri="{FF2B5EF4-FFF2-40B4-BE49-F238E27FC236}">
              <a16:creationId xmlns:a16="http://schemas.microsoft.com/office/drawing/2014/main" id="{EC592052-D561-496B-8191-155A842ACBBC}"/>
            </a:ext>
          </a:extLst>
        </xdr:cNvPr>
        <xdr:cNvSpPr/>
      </xdr:nvSpPr>
      <xdr:spPr>
        <a:xfrm>
          <a:off x="14508904" y="1224940"/>
          <a:ext cx="1844246" cy="1091600"/>
        </a:xfrm>
        <a:prstGeom prst="rect">
          <a:avLst/>
        </a:prstGeom>
        <a:solidFill>
          <a:schemeClr val="tx2">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400" b="1">
              <a:solidFill>
                <a:schemeClr val="tx2"/>
              </a:solidFill>
              <a:latin typeface="+mn-lt"/>
              <a:ea typeface="+mn-ea"/>
              <a:cs typeface="+mn-cs"/>
            </a:rPr>
            <a:t>Clear Filters</a:t>
          </a:r>
        </a:p>
      </xdr:txBody>
    </xdr:sp>
    <xdr:clientData/>
  </xdr:twoCellAnchor>
  <xdr:twoCellAnchor editAs="oneCell">
    <xdr:from>
      <xdr:col>22</xdr:col>
      <xdr:colOff>372683</xdr:colOff>
      <xdr:row>8</xdr:row>
      <xdr:rowOff>104302</xdr:rowOff>
    </xdr:from>
    <xdr:to>
      <xdr:col>23</xdr:col>
      <xdr:colOff>354321</xdr:colOff>
      <xdr:row>12</xdr:row>
      <xdr:rowOff>58397</xdr:rowOff>
    </xdr:to>
    <xdr:pic macro="[0]!Module2.Clear_Filters">
      <xdr:nvPicPr>
        <xdr:cNvPr id="14" name="Picture 13">
          <a:extLst>
            <a:ext uri="{FF2B5EF4-FFF2-40B4-BE49-F238E27FC236}">
              <a16:creationId xmlns:a16="http://schemas.microsoft.com/office/drawing/2014/main" id="{129888AD-9994-4C3A-82FC-6918B51F40AE}"/>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5113442" y="1470647"/>
          <a:ext cx="651672" cy="637267"/>
        </a:xfrm>
        <a:prstGeom prst="rect">
          <a:avLst/>
        </a:prstGeom>
      </xdr:spPr>
    </xdr:pic>
    <xdr:clientData/>
  </xdr:twoCellAnchor>
  <xdr:twoCellAnchor>
    <xdr:from>
      <xdr:col>5</xdr:col>
      <xdr:colOff>9277</xdr:colOff>
      <xdr:row>7</xdr:row>
      <xdr:rowOff>28274</xdr:rowOff>
    </xdr:from>
    <xdr:to>
      <xdr:col>10</xdr:col>
      <xdr:colOff>176905</xdr:colOff>
      <xdr:row>36</xdr:row>
      <xdr:rowOff>163072</xdr:rowOff>
    </xdr:to>
    <xdr:sp macro="" textlink="">
      <xdr:nvSpPr>
        <xdr:cNvPr id="19" name="Rectangle 18">
          <a:extLst>
            <a:ext uri="{FF2B5EF4-FFF2-40B4-BE49-F238E27FC236}">
              <a16:creationId xmlns:a16="http://schemas.microsoft.com/office/drawing/2014/main" id="{760BA820-2938-4A4B-92A7-96621AF00A2D}"/>
            </a:ext>
          </a:extLst>
        </xdr:cNvPr>
        <xdr:cNvSpPr/>
      </xdr:nvSpPr>
      <xdr:spPr>
        <a:xfrm>
          <a:off x="3359449" y="1223826"/>
          <a:ext cx="3517801" cy="5087798"/>
        </a:xfrm>
        <a:prstGeom prst="rect">
          <a:avLst/>
        </a:prstGeom>
        <a:solidFill>
          <a:schemeClr val="tx2">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solidFill>
                <a:schemeClr val="accent2">
                  <a:lumMod val="50000"/>
                </a:schemeClr>
              </a:solidFill>
            </a:rPr>
            <a:t>Employees by Age Group</a:t>
          </a:r>
        </a:p>
      </xdr:txBody>
    </xdr:sp>
    <xdr:clientData/>
  </xdr:twoCellAnchor>
  <xdr:twoCellAnchor>
    <xdr:from>
      <xdr:col>4</xdr:col>
      <xdr:colOff>668171</xdr:colOff>
      <xdr:row>8</xdr:row>
      <xdr:rowOff>149704</xdr:rowOff>
    </xdr:from>
    <xdr:to>
      <xdr:col>10</xdr:col>
      <xdr:colOff>72221</xdr:colOff>
      <xdr:row>36</xdr:row>
      <xdr:rowOff>16020</xdr:rowOff>
    </xdr:to>
    <xdr:graphicFrame macro="">
      <xdr:nvGraphicFramePr>
        <xdr:cNvPr id="20" name="Chart 19">
          <a:extLst>
            <a:ext uri="{FF2B5EF4-FFF2-40B4-BE49-F238E27FC236}">
              <a16:creationId xmlns:a16="http://schemas.microsoft.com/office/drawing/2014/main" id="{E3539DB3-60DF-4EA4-B8B0-56F73C7AB8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10</xdr:col>
      <xdr:colOff>192273</xdr:colOff>
      <xdr:row>7</xdr:row>
      <xdr:rowOff>28276</xdr:rowOff>
    </xdr:from>
    <xdr:to>
      <xdr:col>17</xdr:col>
      <xdr:colOff>38241</xdr:colOff>
      <xdr:row>22</xdr:row>
      <xdr:rowOff>138564</xdr:rowOff>
    </xdr:to>
    <xdr:sp macro="" textlink="">
      <xdr:nvSpPr>
        <xdr:cNvPr id="21" name="Rectangle 20">
          <a:extLst>
            <a:ext uri="{FF2B5EF4-FFF2-40B4-BE49-F238E27FC236}">
              <a16:creationId xmlns:a16="http://schemas.microsoft.com/office/drawing/2014/main" id="{0237F056-C41F-45E3-B7DD-1F0233C466F2}"/>
            </a:ext>
          </a:extLst>
        </xdr:cNvPr>
        <xdr:cNvSpPr/>
      </xdr:nvSpPr>
      <xdr:spPr>
        <a:xfrm>
          <a:off x="6892618" y="1223828"/>
          <a:ext cx="4536209" cy="2672184"/>
        </a:xfrm>
        <a:prstGeom prst="rect">
          <a:avLst/>
        </a:prstGeom>
        <a:solidFill>
          <a:schemeClr val="tx2">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solidFill>
                <a:schemeClr val="accent2">
                  <a:lumMod val="50000"/>
                </a:schemeClr>
              </a:solidFill>
              <a:latin typeface="+mn-lt"/>
              <a:ea typeface="+mn-ea"/>
              <a:cs typeface="+mn-cs"/>
            </a:rPr>
            <a:t>Attrition</a:t>
          </a:r>
          <a:r>
            <a:rPr lang="en-US" sz="1400"/>
            <a:t> </a:t>
          </a:r>
          <a:r>
            <a:rPr lang="en-US" sz="1400" b="1">
              <a:solidFill>
                <a:schemeClr val="accent2">
                  <a:lumMod val="50000"/>
                </a:schemeClr>
              </a:solidFill>
            </a:rPr>
            <a:t>Rate by Age Group</a:t>
          </a:r>
        </a:p>
      </xdr:txBody>
    </xdr:sp>
    <xdr:clientData/>
  </xdr:twoCellAnchor>
  <xdr:twoCellAnchor>
    <xdr:from>
      <xdr:col>10</xdr:col>
      <xdr:colOff>192272</xdr:colOff>
      <xdr:row>22</xdr:row>
      <xdr:rowOff>159730</xdr:rowOff>
    </xdr:from>
    <xdr:to>
      <xdr:col>17</xdr:col>
      <xdr:colOff>38240</xdr:colOff>
      <xdr:row>36</xdr:row>
      <xdr:rowOff>163073</xdr:rowOff>
    </xdr:to>
    <xdr:sp macro="" textlink="">
      <xdr:nvSpPr>
        <xdr:cNvPr id="23" name="Rectangle 22">
          <a:extLst>
            <a:ext uri="{FF2B5EF4-FFF2-40B4-BE49-F238E27FC236}">
              <a16:creationId xmlns:a16="http://schemas.microsoft.com/office/drawing/2014/main" id="{FA1E586D-9F8B-4AE8-BC04-1CF95B04CA57}"/>
            </a:ext>
          </a:extLst>
        </xdr:cNvPr>
        <xdr:cNvSpPr/>
      </xdr:nvSpPr>
      <xdr:spPr>
        <a:xfrm>
          <a:off x="6892617" y="3917178"/>
          <a:ext cx="4536209" cy="2394447"/>
        </a:xfrm>
        <a:prstGeom prst="rect">
          <a:avLst/>
        </a:prstGeom>
        <a:solidFill>
          <a:schemeClr val="tx2">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solidFill>
                <a:schemeClr val="accent2">
                  <a:lumMod val="50000"/>
                </a:schemeClr>
              </a:solidFill>
            </a:rPr>
            <a:t>Monthly Income by Job Level</a:t>
          </a:r>
        </a:p>
      </xdr:txBody>
    </xdr:sp>
    <xdr:clientData/>
  </xdr:twoCellAnchor>
  <xdr:twoCellAnchor>
    <xdr:from>
      <xdr:col>10</xdr:col>
      <xdr:colOff>220385</xdr:colOff>
      <xdr:row>8</xdr:row>
      <xdr:rowOff>109600</xdr:rowOff>
    </xdr:from>
    <xdr:to>
      <xdr:col>17</xdr:col>
      <xdr:colOff>81131</xdr:colOff>
      <xdr:row>22</xdr:row>
      <xdr:rowOff>109600</xdr:rowOff>
    </xdr:to>
    <xdr:graphicFrame macro="">
      <xdr:nvGraphicFramePr>
        <xdr:cNvPr id="25" name="Chart 24">
          <a:extLst>
            <a:ext uri="{FF2B5EF4-FFF2-40B4-BE49-F238E27FC236}">
              <a16:creationId xmlns:a16="http://schemas.microsoft.com/office/drawing/2014/main" id="{6D039D8A-EBAB-4479-9C41-E1F5F1393F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194499</xdr:colOff>
      <xdr:row>23</xdr:row>
      <xdr:rowOff>29390</xdr:rowOff>
    </xdr:from>
    <xdr:to>
      <xdr:col>17</xdr:col>
      <xdr:colOff>27657</xdr:colOff>
      <xdr:row>36</xdr:row>
      <xdr:rowOff>96231</xdr:rowOff>
    </xdr:to>
    <xdr:graphicFrame macro="">
      <xdr:nvGraphicFramePr>
        <xdr:cNvPr id="26" name="Chart 25">
          <a:extLst>
            <a:ext uri="{FF2B5EF4-FFF2-40B4-BE49-F238E27FC236}">
              <a16:creationId xmlns:a16="http://schemas.microsoft.com/office/drawing/2014/main" id="{C42E41A9-5FD5-470D-885E-D5ED42306A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54395</xdr:colOff>
      <xdr:row>7</xdr:row>
      <xdr:rowOff>29388</xdr:rowOff>
    </xdr:from>
    <xdr:to>
      <xdr:col>21</xdr:col>
      <xdr:colOff>388606</xdr:colOff>
      <xdr:row>36</xdr:row>
      <xdr:rowOff>163072</xdr:rowOff>
    </xdr:to>
    <xdr:sp macro="" textlink="">
      <xdr:nvSpPr>
        <xdr:cNvPr id="27" name="Rectangle 26">
          <a:extLst>
            <a:ext uri="{FF2B5EF4-FFF2-40B4-BE49-F238E27FC236}">
              <a16:creationId xmlns:a16="http://schemas.microsoft.com/office/drawing/2014/main" id="{6C2673E2-240F-4AD3-88C8-D2DB17062625}"/>
            </a:ext>
          </a:extLst>
        </xdr:cNvPr>
        <xdr:cNvSpPr/>
      </xdr:nvSpPr>
      <xdr:spPr>
        <a:xfrm>
          <a:off x="11444981" y="1224940"/>
          <a:ext cx="3014349" cy="5086684"/>
        </a:xfrm>
        <a:prstGeom prst="rect">
          <a:avLst/>
        </a:prstGeom>
        <a:solidFill>
          <a:schemeClr val="tx2">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solidFill>
                <a:schemeClr val="accent2">
                  <a:lumMod val="50000"/>
                </a:schemeClr>
              </a:solidFill>
            </a:rPr>
            <a:t>Gender Distribution</a:t>
          </a:r>
        </a:p>
      </xdr:txBody>
    </xdr:sp>
    <xdr:clientData/>
  </xdr:twoCellAnchor>
  <xdr:twoCellAnchor>
    <xdr:from>
      <xdr:col>17</xdr:col>
      <xdr:colOff>27657</xdr:colOff>
      <xdr:row>8</xdr:row>
      <xdr:rowOff>69494</xdr:rowOff>
    </xdr:from>
    <xdr:to>
      <xdr:col>21</xdr:col>
      <xdr:colOff>428710</xdr:colOff>
      <xdr:row>36</xdr:row>
      <xdr:rowOff>29389</xdr:rowOff>
    </xdr:to>
    <xdr:graphicFrame macro="">
      <xdr:nvGraphicFramePr>
        <xdr:cNvPr id="28" name="Chart 27">
          <a:extLst>
            <a:ext uri="{FF2B5EF4-FFF2-40B4-BE49-F238E27FC236}">
              <a16:creationId xmlns:a16="http://schemas.microsoft.com/office/drawing/2014/main" id="{782E0E8C-237C-4A03-9DAC-64E0F1E11F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32409</xdr:colOff>
      <xdr:row>7</xdr:row>
      <xdr:rowOff>26741</xdr:rowOff>
    </xdr:from>
    <xdr:to>
      <xdr:col>4</xdr:col>
      <xdr:colOff>644218</xdr:colOff>
      <xdr:row>14</xdr:row>
      <xdr:rowOff>106001</xdr:rowOff>
    </xdr:to>
    <xdr:sp macro="" textlink="">
      <xdr:nvSpPr>
        <xdr:cNvPr id="15" name="Rectangle 14">
          <a:extLst>
            <a:ext uri="{FF2B5EF4-FFF2-40B4-BE49-F238E27FC236}">
              <a16:creationId xmlns:a16="http://schemas.microsoft.com/office/drawing/2014/main" id="{5B4EF1B5-5B39-452A-8D0E-89D9B1D31823}"/>
            </a:ext>
          </a:extLst>
        </xdr:cNvPr>
        <xdr:cNvSpPr/>
      </xdr:nvSpPr>
      <xdr:spPr>
        <a:xfrm>
          <a:off x="702443" y="1222293"/>
          <a:ext cx="2621913" cy="1274811"/>
        </a:xfrm>
        <a:prstGeom prst="rect">
          <a:avLst/>
        </a:prstGeom>
        <a:solidFill>
          <a:schemeClr val="tx2">
            <a:lumMod val="20000"/>
            <a:lumOff val="80000"/>
          </a:schemeClr>
        </a:solidFill>
        <a:effectLst>
          <a:outerShdw blurRad="50800" dist="38100" dir="2700000" algn="tl" rotWithShape="0">
            <a:schemeClr val="bg2">
              <a:lumMod val="20000"/>
              <a:lumOff val="80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l"/>
          <a:r>
            <a:rPr lang="en-US" sz="1800" b="1">
              <a:solidFill>
                <a:schemeClr val="tx2"/>
              </a:solidFill>
              <a:latin typeface="+mn-lt"/>
              <a:ea typeface="+mn-ea"/>
              <a:cs typeface="+mn-cs"/>
            </a:rPr>
            <a:t>Total</a:t>
          </a:r>
          <a:r>
            <a:rPr lang="en-US" sz="1800" b="1">
              <a:solidFill>
                <a:srgbClr val="156E99"/>
              </a:solidFill>
            </a:rPr>
            <a:t> </a:t>
          </a:r>
          <a:r>
            <a:rPr lang="en-US" sz="1800" b="1">
              <a:solidFill>
                <a:schemeClr val="tx2"/>
              </a:solidFill>
              <a:latin typeface="+mn-lt"/>
              <a:ea typeface="+mn-ea"/>
              <a:cs typeface="+mn-cs"/>
            </a:rPr>
            <a:t>Employess</a:t>
          </a:r>
        </a:p>
      </xdr:txBody>
    </xdr:sp>
    <xdr:clientData/>
  </xdr:twoCellAnchor>
  <xdr:oneCellAnchor>
    <xdr:from>
      <xdr:col>1</xdr:col>
      <xdr:colOff>79223</xdr:colOff>
      <xdr:row>8</xdr:row>
      <xdr:rowOff>100788</xdr:rowOff>
    </xdr:from>
    <xdr:ext cx="1169275" cy="670034"/>
    <xdr:sp macro="" textlink="'Pivot Table'!A3">
      <xdr:nvSpPr>
        <xdr:cNvPr id="16" name="TextBox 15">
          <a:extLst>
            <a:ext uri="{FF2B5EF4-FFF2-40B4-BE49-F238E27FC236}">
              <a16:creationId xmlns:a16="http://schemas.microsoft.com/office/drawing/2014/main" id="{A1DA9E79-FA59-4365-AB1C-C59E0B66DC99}"/>
            </a:ext>
          </a:extLst>
        </xdr:cNvPr>
        <xdr:cNvSpPr txBox="1"/>
      </xdr:nvSpPr>
      <xdr:spPr>
        <a:xfrm>
          <a:off x="749257" y="1467133"/>
          <a:ext cx="1169275" cy="6700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6F819960-797B-406A-848D-D081A51689F7}" type="TxLink">
            <a:rPr lang="en-US" sz="2800" b="0" i="0" u="none" strike="noStrike">
              <a:solidFill>
                <a:schemeClr val="tx2"/>
              </a:solidFill>
              <a:latin typeface="Century Gothic"/>
              <a:ea typeface="+mn-ea"/>
              <a:cs typeface="+mn-cs"/>
            </a:rPr>
            <a:pPr marL="0" indent="0"/>
            <a:t>1480</a:t>
          </a:fld>
          <a:endParaRPr lang="en-US" sz="2800" b="0" i="0" u="none" strike="noStrike">
            <a:solidFill>
              <a:schemeClr val="tx2"/>
            </a:solidFill>
            <a:latin typeface="Century Gothic"/>
            <a:ea typeface="+mn-ea"/>
            <a:cs typeface="+mn-cs"/>
          </a:endParaRPr>
        </a:p>
      </xdr:txBody>
    </xdr:sp>
    <xdr:clientData/>
  </xdr:oneCellAnchor>
  <xdr:twoCellAnchor>
    <xdr:from>
      <xdr:col>1</xdr:col>
      <xdr:colOff>19040</xdr:colOff>
      <xdr:row>18</xdr:row>
      <xdr:rowOff>99395</xdr:rowOff>
    </xdr:from>
    <xdr:to>
      <xdr:col>4</xdr:col>
      <xdr:colOff>617481</xdr:colOff>
      <xdr:row>25</xdr:row>
      <xdr:rowOff>169770</xdr:rowOff>
    </xdr:to>
    <xdr:sp macro="" textlink="">
      <xdr:nvSpPr>
        <xdr:cNvPr id="17" name="Rectangle 16">
          <a:extLst>
            <a:ext uri="{FF2B5EF4-FFF2-40B4-BE49-F238E27FC236}">
              <a16:creationId xmlns:a16="http://schemas.microsoft.com/office/drawing/2014/main" id="{327EE3AE-83D7-485D-9A98-400E5191957F}"/>
            </a:ext>
          </a:extLst>
        </xdr:cNvPr>
        <xdr:cNvSpPr/>
      </xdr:nvSpPr>
      <xdr:spPr>
        <a:xfrm>
          <a:off x="689074" y="3173671"/>
          <a:ext cx="2608545" cy="1265927"/>
        </a:xfrm>
        <a:prstGeom prst="rect">
          <a:avLst/>
        </a:prstGeom>
        <a:solidFill>
          <a:schemeClr val="tx2">
            <a:lumMod val="20000"/>
            <a:lumOff val="80000"/>
          </a:schemeClr>
        </a:solidFill>
        <a:effectLst>
          <a:outerShdw blurRad="50800" dist="38100" dir="2700000" algn="tl" rotWithShape="0">
            <a:schemeClr val="bg2">
              <a:lumMod val="20000"/>
              <a:lumOff val="80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1800" b="1">
              <a:solidFill>
                <a:schemeClr val="tx2"/>
              </a:solidFill>
              <a:latin typeface="+mn-lt"/>
              <a:ea typeface="+mn-ea"/>
              <a:cs typeface="+mn-cs"/>
            </a:rPr>
            <a:t>Avg Age</a:t>
          </a:r>
        </a:p>
      </xdr:txBody>
    </xdr:sp>
    <xdr:clientData/>
  </xdr:twoCellAnchor>
  <xdr:twoCellAnchor>
    <xdr:from>
      <xdr:col>1</xdr:col>
      <xdr:colOff>187272</xdr:colOff>
      <xdr:row>20</xdr:row>
      <xdr:rowOff>5211</xdr:rowOff>
    </xdr:from>
    <xdr:to>
      <xdr:col>2</xdr:col>
      <xdr:colOff>634062</xdr:colOff>
      <xdr:row>22</xdr:row>
      <xdr:rowOff>157968</xdr:rowOff>
    </xdr:to>
    <xdr:sp macro="" textlink="'Pivot Table'!W4">
      <xdr:nvSpPr>
        <xdr:cNvPr id="18" name="TextBox 17">
          <a:extLst>
            <a:ext uri="{FF2B5EF4-FFF2-40B4-BE49-F238E27FC236}">
              <a16:creationId xmlns:a16="http://schemas.microsoft.com/office/drawing/2014/main" id="{9D84BB8F-4EBF-4E15-A2E7-D4CD06FADA3B}"/>
            </a:ext>
          </a:extLst>
        </xdr:cNvPr>
        <xdr:cNvSpPr txBox="1"/>
      </xdr:nvSpPr>
      <xdr:spPr>
        <a:xfrm>
          <a:off x="857306" y="3421073"/>
          <a:ext cx="1116825" cy="4943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CF7FCC2D-8A66-4CD8-9D78-366135A10355}" type="TxLink">
            <a:rPr lang="en-US" sz="2800" b="0" i="0" u="none" strike="noStrike">
              <a:solidFill>
                <a:schemeClr val="tx2"/>
              </a:solidFill>
              <a:latin typeface="Century Gothic"/>
              <a:ea typeface="+mn-ea"/>
              <a:cs typeface="+mn-cs"/>
            </a:rPr>
            <a:pPr marL="0" indent="0"/>
            <a:t>37</a:t>
          </a:fld>
          <a:endParaRPr lang="en-US" sz="2800" b="0" i="0" u="none" strike="noStrike">
            <a:solidFill>
              <a:schemeClr val="tx2"/>
            </a:solidFill>
            <a:latin typeface="Century Gothic"/>
            <a:ea typeface="+mn-ea"/>
            <a:cs typeface="+mn-cs"/>
          </a:endParaRPr>
        </a:p>
      </xdr:txBody>
    </xdr:sp>
    <xdr:clientData/>
  </xdr:twoCellAnchor>
  <xdr:twoCellAnchor>
    <xdr:from>
      <xdr:col>1</xdr:col>
      <xdr:colOff>45777</xdr:colOff>
      <xdr:row>29</xdr:row>
      <xdr:rowOff>76016</xdr:rowOff>
    </xdr:from>
    <xdr:to>
      <xdr:col>4</xdr:col>
      <xdr:colOff>575763</xdr:colOff>
      <xdr:row>36</xdr:row>
      <xdr:rowOff>98816</xdr:rowOff>
    </xdr:to>
    <xdr:sp macro="" textlink="">
      <xdr:nvSpPr>
        <xdr:cNvPr id="22" name="Rectangle 21">
          <a:extLst>
            <a:ext uri="{FF2B5EF4-FFF2-40B4-BE49-F238E27FC236}">
              <a16:creationId xmlns:a16="http://schemas.microsoft.com/office/drawing/2014/main" id="{BC91A704-6437-4364-A87A-E9C34B8DE58B}"/>
            </a:ext>
          </a:extLst>
        </xdr:cNvPr>
        <xdr:cNvSpPr/>
      </xdr:nvSpPr>
      <xdr:spPr>
        <a:xfrm>
          <a:off x="715811" y="5029016"/>
          <a:ext cx="2540090" cy="1218352"/>
        </a:xfrm>
        <a:prstGeom prst="rect">
          <a:avLst/>
        </a:prstGeom>
        <a:solidFill>
          <a:schemeClr val="tx2">
            <a:lumMod val="20000"/>
            <a:lumOff val="80000"/>
          </a:schemeClr>
        </a:solidFill>
        <a:effectLst>
          <a:outerShdw blurRad="50800" dist="38100" dir="2700000" algn="tl" rotWithShape="0">
            <a:schemeClr val="bg2">
              <a:lumMod val="20000"/>
              <a:lumOff val="80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l"/>
          <a:r>
            <a:rPr lang="en-US" sz="1800" b="1">
              <a:solidFill>
                <a:schemeClr val="tx2"/>
              </a:solidFill>
              <a:latin typeface="+mn-lt"/>
              <a:ea typeface="+mn-ea"/>
              <a:cs typeface="+mn-cs"/>
            </a:rPr>
            <a:t>Avg Tenure</a:t>
          </a:r>
        </a:p>
      </xdr:txBody>
    </xdr:sp>
    <xdr:clientData/>
  </xdr:twoCellAnchor>
  <xdr:twoCellAnchor>
    <xdr:from>
      <xdr:col>1</xdr:col>
      <xdr:colOff>206979</xdr:colOff>
      <xdr:row>30</xdr:row>
      <xdr:rowOff>100884</xdr:rowOff>
    </xdr:from>
    <xdr:to>
      <xdr:col>2</xdr:col>
      <xdr:colOff>612742</xdr:colOff>
      <xdr:row>33</xdr:row>
      <xdr:rowOff>158679</xdr:rowOff>
    </xdr:to>
    <xdr:sp macro="" textlink="'Pivot Table'!Y4">
      <xdr:nvSpPr>
        <xdr:cNvPr id="24" name="TextBox 23">
          <a:extLst>
            <a:ext uri="{FF2B5EF4-FFF2-40B4-BE49-F238E27FC236}">
              <a16:creationId xmlns:a16="http://schemas.microsoft.com/office/drawing/2014/main" id="{7D412029-C0B1-4564-953A-3A52D46FD775}"/>
            </a:ext>
          </a:extLst>
        </xdr:cNvPr>
        <xdr:cNvSpPr txBox="1"/>
      </xdr:nvSpPr>
      <xdr:spPr>
        <a:xfrm>
          <a:off x="877013" y="5224677"/>
          <a:ext cx="1075798" cy="5701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255A3C7E-4C7B-4560-8158-1521EF217D6F}" type="TxLink">
            <a:rPr lang="en-US" sz="2800" b="0" i="0" u="none" strike="noStrike">
              <a:solidFill>
                <a:schemeClr val="tx2"/>
              </a:solidFill>
              <a:latin typeface="Century Gothic"/>
              <a:ea typeface="+mn-ea"/>
              <a:cs typeface="+mn-cs"/>
            </a:rPr>
            <a:pPr marL="0" indent="0"/>
            <a:t>7.01</a:t>
          </a:fld>
          <a:endParaRPr lang="en-US" sz="2800" b="0" i="0" u="none" strike="noStrike">
            <a:solidFill>
              <a:schemeClr val="tx2"/>
            </a:solidFill>
            <a:latin typeface="Century Gothic"/>
            <a:ea typeface="+mn-ea"/>
            <a:cs typeface="+mn-cs"/>
          </a:endParaRPr>
        </a:p>
      </xdr:txBody>
    </xdr:sp>
    <xdr:clientData/>
  </xdr:twoCellAnchor>
  <xdr:twoCellAnchor editAs="oneCell">
    <xdr:from>
      <xdr:col>3</xdr:col>
      <xdr:colOff>206198</xdr:colOff>
      <xdr:row>7</xdr:row>
      <xdr:rowOff>93583</xdr:rowOff>
    </xdr:from>
    <xdr:to>
      <xdr:col>4</xdr:col>
      <xdr:colOff>509602</xdr:colOff>
      <xdr:row>13</xdr:row>
      <xdr:rowOff>22672</xdr:rowOff>
    </xdr:to>
    <xdr:pic>
      <xdr:nvPicPr>
        <xdr:cNvPr id="36" name="Picture 35">
          <a:extLst>
            <a:ext uri="{FF2B5EF4-FFF2-40B4-BE49-F238E27FC236}">
              <a16:creationId xmlns:a16="http://schemas.microsoft.com/office/drawing/2014/main" id="{41176A26-368A-4748-95D3-5FF2BDFCEF5D}"/>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2216301" y="1289135"/>
          <a:ext cx="973439" cy="953847"/>
        </a:xfrm>
        <a:prstGeom prst="rect">
          <a:avLst/>
        </a:prstGeom>
      </xdr:spPr>
    </xdr:pic>
    <xdr:clientData/>
  </xdr:twoCellAnchor>
  <xdr:twoCellAnchor editAs="oneCell">
    <xdr:from>
      <xdr:col>3</xdr:col>
      <xdr:colOff>81134</xdr:colOff>
      <xdr:row>19</xdr:row>
      <xdr:rowOff>29389</xdr:rowOff>
    </xdr:from>
    <xdr:to>
      <xdr:col>4</xdr:col>
      <xdr:colOff>482185</xdr:colOff>
      <xdr:row>25</xdr:row>
      <xdr:rowOff>56125</xdr:rowOff>
    </xdr:to>
    <xdr:pic>
      <xdr:nvPicPr>
        <xdr:cNvPr id="38" name="Picture 37">
          <a:extLst>
            <a:ext uri="{FF2B5EF4-FFF2-40B4-BE49-F238E27FC236}">
              <a16:creationId xmlns:a16="http://schemas.microsoft.com/office/drawing/2014/main" id="{675D60F0-FFD0-3730-369F-5C19259446A8}"/>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2091237" y="3274458"/>
          <a:ext cx="1071086" cy="1051495"/>
        </a:xfrm>
        <a:prstGeom prst="rect">
          <a:avLst/>
        </a:prstGeom>
      </xdr:spPr>
    </xdr:pic>
    <xdr:clientData/>
  </xdr:twoCellAnchor>
  <xdr:twoCellAnchor editAs="oneCell">
    <xdr:from>
      <xdr:col>3</xdr:col>
      <xdr:colOff>214815</xdr:colOff>
      <xdr:row>29</xdr:row>
      <xdr:rowOff>149705</xdr:rowOff>
    </xdr:from>
    <xdr:to>
      <xdr:col>4</xdr:col>
      <xdr:colOff>482182</xdr:colOff>
      <xdr:row>35</xdr:row>
      <xdr:rowOff>42757</xdr:rowOff>
    </xdr:to>
    <xdr:pic>
      <xdr:nvPicPr>
        <xdr:cNvPr id="42" name="Picture 41">
          <a:extLst>
            <a:ext uri="{FF2B5EF4-FFF2-40B4-BE49-F238E27FC236}">
              <a16:creationId xmlns:a16="http://schemas.microsoft.com/office/drawing/2014/main" id="{8F38E42E-1058-AEF2-FECE-25ABA70C251F}"/>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flipH="1">
          <a:off x="2224918" y="5102705"/>
          <a:ext cx="937402" cy="91781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USER\Downloads\Book1_-_Copy.xlsm" TargetMode="External"/><Relationship Id="rId1" Type="http://schemas.openxmlformats.org/officeDocument/2006/relationships/externalLinkPath" Target="file:///C:\Users\USER\Downloads\Book1_-_Cop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eta-Data"/>
      <sheetName val="Wirefrming"/>
      <sheetName val="Pivot Table"/>
      <sheetName val="Employee"/>
      <sheetName val="Department"/>
      <sheetName val="Overview"/>
    </sheetNames>
    <sheetDataSet>
      <sheetData sheetId="0" refreshError="1"/>
      <sheetData sheetId="1" refreshError="1"/>
      <sheetData sheetId="2">
        <row r="16">
          <cell r="Q16" t="str">
            <v>Healthcare Representative</v>
          </cell>
          <cell r="R16">
            <v>0.28030303030303028</v>
          </cell>
        </row>
        <row r="17">
          <cell r="Q17" t="str">
            <v>Human Resources</v>
          </cell>
          <cell r="R17">
            <v>0.25</v>
          </cell>
        </row>
        <row r="18">
          <cell r="Q18" t="str">
            <v>Laboratory Technician</v>
          </cell>
          <cell r="R18">
            <v>0.23754789272030652</v>
          </cell>
        </row>
        <row r="19">
          <cell r="Q19" t="str">
            <v>Manager</v>
          </cell>
          <cell r="R19">
            <v>0.26470588235294118</v>
          </cell>
        </row>
        <row r="20">
          <cell r="Q20" t="str">
            <v>Manufacturing Director</v>
          </cell>
          <cell r="R20">
            <v>0.27210884353741499</v>
          </cell>
        </row>
        <row r="21">
          <cell r="Q21" t="str">
            <v>Research Director</v>
          </cell>
          <cell r="R21">
            <v>0.28749999999999998</v>
          </cell>
        </row>
        <row r="22">
          <cell r="Q22" t="str">
            <v>Research Scientist</v>
          </cell>
          <cell r="R22">
            <v>0.33105802047781568</v>
          </cell>
        </row>
        <row r="23">
          <cell r="Q23" t="str">
            <v>Sales Executive</v>
          </cell>
          <cell r="R23">
            <v>0.28875379939209728</v>
          </cell>
        </row>
        <row r="24">
          <cell r="Q24" t="str">
            <v>Sales Representative</v>
          </cell>
          <cell r="R24">
            <v>0.2857142857142857</v>
          </cell>
        </row>
        <row r="25">
          <cell r="Q25" t="str">
            <v>Grand Total</v>
          </cell>
          <cell r="R25">
            <v>0.28243243243243243</v>
          </cell>
        </row>
      </sheetData>
      <sheetData sheetId="3" refreshError="1"/>
      <sheetData sheetId="4" refreshError="1"/>
      <sheetData sheetId="5" refreshError="1"/>
    </sheetDataSet>
  </externalBook>
</externalLink>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323.833596064818" backgroundQuery="1" createdVersion="8" refreshedVersion="8" minRefreshableVersion="3" recordCount="0" supportSubquery="1" supportAdvancedDrill="1" xr:uid="{A880748D-BE11-4633-B56E-26CC8F96D44C}">
  <cacheSource type="external" connectionId="2"/>
  <cacheFields count="2">
    <cacheField name="[Measures].[Attrition Rate]" caption="Attrition Rate" numFmtId="0" hierarchy="41" level="32767"/>
    <cacheField name="[HR_Analytics].[Department].[Department]" caption="Department" numFmtId="0" hierarchy="6" level="1">
      <sharedItems containsSemiMixedTypes="0" containsNonDate="0" containsString="0"/>
    </cacheField>
  </cacheFields>
  <cacheHierarchies count="56">
    <cacheHierarchy uniqueName="[HR_Analytics].[EmpID]" caption="EmpID" attribute="1" defaultMemberUniqueName="[HR_Analytics].[EmpID].[All]" allUniqueName="[HR_Analytics].[EmpID].[All]" dimensionUniqueName="[HR_Analytics]" displayFolder="" count="0" memberValueDatatype="130" unbalanced="0"/>
    <cacheHierarchy uniqueName="[HR_Analytics].[Age]" caption="Age" attribute="1" defaultMemberUniqueName="[HR_Analytics].[Age].[All]" allUniqueName="[HR_Analytics].[Age].[All]" dimensionUniqueName="[HR_Analytics]" displayFolder="" count="0" memberValueDatatype="20" unbalanced="0"/>
    <cacheHierarchy uniqueName="[HR_Analytics].[AgeGroup]" caption="AgeGroup" attribute="1" defaultMemberUniqueName="[HR_Analytics].[AgeGroup].[All]" allUniqueName="[HR_Analytics].[AgeGroup].[All]" dimensionUniqueName="[HR_Analytics]" displayFolder="" count="0" memberValueDatatype="130" unbalanced="0"/>
    <cacheHierarchy uniqueName="[HR_Analytics].[Attrition]" caption="Attrition" attribute="1" defaultMemberUniqueName="[HR_Analytics].[Attrition].[All]" allUniqueName="[HR_Analytics].[Attrition].[All]" dimensionUniqueName="[HR_Analytics]" displayFolder="" count="0" memberValueDatatype="130" unbalanced="0"/>
    <cacheHierarchy uniqueName="[HR_Analytics].[BusinessTravel]" caption="BusinessTravel" attribute="1" defaultMemberUniqueName="[HR_Analytics].[BusinessTravel].[All]" allUniqueName="[HR_Analytics].[BusinessTravel].[All]" dimensionUniqueName="[HR_Analytics]" displayFolder="" count="0" memberValueDatatype="130" unbalanced="0"/>
    <cacheHierarchy uniqueName="[HR_Analytics].[DailyRate]" caption="DailyRate" attribute="1" defaultMemberUniqueName="[HR_Analytics].[DailyRate].[All]" allUniqueName="[HR_Analytics].[DailyRate].[All]" dimensionUniqueName="[HR_Analytics]" displayFolder="" count="0" memberValueDatatype="20" unbalanced="0"/>
    <cacheHierarchy uniqueName="[HR_Analytics].[Department]" caption="Department" attribute="1" defaultMemberUniqueName="[HR_Analytics].[Department].[All]" allUniqueName="[HR_Analytics].[Department].[All]" dimensionUniqueName="[HR_Analytics]" displayFolder="" count="2" memberValueDatatype="130" unbalanced="0">
      <fieldsUsage count="2">
        <fieldUsage x="-1"/>
        <fieldUsage x="1"/>
      </fieldsUsage>
    </cacheHierarchy>
    <cacheHierarchy uniqueName="[HR_Analytics].[DistanceFromHome]" caption="DistanceFromHome" attribute="1" defaultMemberUniqueName="[HR_Analytics].[DistanceFromHome].[All]" allUniqueName="[HR_Analytics].[DistanceFromHome].[All]" dimensionUniqueName="[HR_Analytics]" displayFolder="" count="0" memberValueDatatype="20" unbalanced="0"/>
    <cacheHierarchy uniqueName="[HR_Analytics].[Education]" caption="Education" attribute="1" defaultMemberUniqueName="[HR_Analytics].[Education].[All]" allUniqueName="[HR_Analytics].[Education].[All]" dimensionUniqueName="[HR_Analytics]" displayFolder="" count="0" memberValueDatatype="20" unbalanced="0"/>
    <cacheHierarchy uniqueName="[HR_Analytics].[EducationField]" caption="EducationField" attribute="1" defaultMemberUniqueName="[HR_Analytics].[EducationField].[All]" allUniqueName="[HR_Analytics].[EducationField].[All]" dimensionUniqueName="[HR_Analytics]" displayFolder="" count="0" memberValueDatatype="130" unbalanced="0"/>
    <cacheHierarchy uniqueName="[HR_Analytics].[EmployeeCount]" caption="EmployeeCount" attribute="1" defaultMemberUniqueName="[HR_Analytics].[EmployeeCount].[All]" allUniqueName="[HR_Analytics].[EmployeeCount].[All]" dimensionUniqueName="[HR_Analytics]" displayFolder="" count="0" memberValueDatatype="20" unbalanced="0"/>
    <cacheHierarchy uniqueName="[HR_Analytics].[EmployeeNumber]" caption="EmployeeNumber" attribute="1" defaultMemberUniqueName="[HR_Analytics].[EmployeeNumber].[All]" allUniqueName="[HR_Analytics].[EmployeeNumber].[All]" dimensionUniqueName="[HR_Analytics]" displayFolder="" count="0" memberValueDatatype="20" unbalanced="0"/>
    <cacheHierarchy uniqueName="[HR_Analytics].[EnvironmentSatisfaction]" caption="EnvironmentSatisfaction" attribute="1" defaultMemberUniqueName="[HR_Analytics].[EnvironmentSatisfaction].[All]" allUniqueName="[HR_Analytics].[EnvironmentSatisfaction].[All]" dimensionUniqueName="[HR_Analytics]" displayFolder="" count="0" memberValueDatatype="20" unbalanced="0"/>
    <cacheHierarchy uniqueName="[HR_Analytics].[Gender]" caption="Gender" attribute="1" defaultMemberUniqueName="[HR_Analytics].[Gender].[All]" allUniqueName="[HR_Analytics].[Gender].[All]" dimensionUniqueName="[HR_Analytics]" displayFolder="" count="0" memberValueDatatype="130" unbalanced="0"/>
    <cacheHierarchy uniqueName="[HR_Analytics].[HourlyRate]" caption="HourlyRate" attribute="1" defaultMemberUniqueName="[HR_Analytics].[HourlyRate].[All]" allUniqueName="[HR_Analytics].[HourlyRate].[All]" dimensionUniqueName="[HR_Analytics]" displayFolder="" count="0" memberValueDatatype="20" unbalanced="0"/>
    <cacheHierarchy uniqueName="[HR_Analytics].[JobInvolvement]" caption="JobInvolvement" attribute="1" defaultMemberUniqueName="[HR_Analytics].[JobInvolvement].[All]" allUniqueName="[HR_Analytics].[JobInvolvement].[All]" dimensionUniqueName="[HR_Analytics]" displayFolder="" count="0" memberValueDatatype="20" unbalanced="0"/>
    <cacheHierarchy uniqueName="[HR_Analytics].[JobLevel]" caption="JobLevel" attribute="1" defaultMemberUniqueName="[HR_Analytics].[JobLevel].[All]" allUniqueName="[HR_Analytics].[JobLevel].[All]" dimensionUniqueName="[HR_Analytics]" displayFolder="" count="0" memberValueDatatype="20" unbalanced="0"/>
    <cacheHierarchy uniqueName="[HR_Analytics].[JobRole]" caption="JobRole" attribute="1" defaultMemberUniqueName="[HR_Analytics].[JobRole].[All]" allUniqueName="[HR_Analytics].[JobRole].[All]" dimensionUniqueName="[HR_Analytics]" displayFolder="" count="0" memberValueDatatype="130" unbalanced="0"/>
    <cacheHierarchy uniqueName="[HR_Analytics].[JobSatisfaction]" caption="JobSatisfaction" attribute="1" defaultMemberUniqueName="[HR_Analytics].[JobSatisfaction].[All]" allUniqueName="[HR_Analytics].[JobSatisfaction].[All]" dimensionUniqueName="[HR_Analytics]" displayFolder="" count="0" memberValueDatatype="20" unbalanced="0"/>
    <cacheHierarchy uniqueName="[HR_Analytics].[MaritalStatus]" caption="MaritalStatus" attribute="1" defaultMemberUniqueName="[HR_Analytics].[MaritalStatus].[All]" allUniqueName="[HR_Analytics].[MaritalStatus].[All]" dimensionUniqueName="[HR_Analytics]" displayFolder="" count="0" memberValueDatatype="130" unbalanced="0"/>
    <cacheHierarchy uniqueName="[HR_Analytics].[MonthlyIncome]" caption="MonthlyIncome" attribute="1" defaultMemberUniqueName="[HR_Analytics].[MonthlyIncome].[All]" allUniqueName="[HR_Analytics].[MonthlyIncome].[All]" dimensionUniqueName="[HR_Analytics]" displayFolder="" count="0" memberValueDatatype="20" unbalanced="0"/>
    <cacheHierarchy uniqueName="[HR_Analytics].[SalarySlab]" caption="SalarySlab" attribute="1" defaultMemberUniqueName="[HR_Analytics].[SalarySlab].[All]" allUniqueName="[HR_Analytics].[SalarySlab].[All]" dimensionUniqueName="[HR_Analytics]" displayFolder="" count="2" memberValueDatatype="130" unbalanced="0"/>
    <cacheHierarchy uniqueName="[HR_Analytics].[MonthlyRate]" caption="MonthlyRate" attribute="1" defaultMemberUniqueName="[HR_Analytics].[MonthlyRate].[All]" allUniqueName="[HR_Analytics].[MonthlyRate].[All]" dimensionUniqueName="[HR_Analytics]" displayFolder="" count="0" memberValueDatatype="20" unbalanced="0"/>
    <cacheHierarchy uniqueName="[HR_Analytics].[NumCompaniesWorked]" caption="NumCompaniesWorked" attribute="1" defaultMemberUniqueName="[HR_Analytics].[NumCompaniesWorked].[All]" allUniqueName="[HR_Analytics].[NumCompaniesWorked].[All]" dimensionUniqueName="[HR_Analytics]" displayFolder="" count="0" memberValueDatatype="20" unbalanced="0"/>
    <cacheHierarchy uniqueName="[HR_Analytics].[Over18]" caption="Over18" attribute="1" defaultMemberUniqueName="[HR_Analytics].[Over18].[All]" allUniqueName="[HR_Analytics].[Over18].[All]" dimensionUniqueName="[HR_Analytics]" displayFolder="" count="0" memberValueDatatype="130" unbalanced="0"/>
    <cacheHierarchy uniqueName="[HR_Analytics].[OverTime]" caption="OverTime" attribute="1" defaultMemberUniqueName="[HR_Analytics].[OverTime].[All]" allUniqueName="[HR_Analytics].[OverTime].[All]" dimensionUniqueName="[HR_Analytics]" displayFolder="" count="0" memberValueDatatype="130" unbalanced="0"/>
    <cacheHierarchy uniqueName="[HR_Analytics].[PercentSalaryHike]" caption="PercentSalaryHike" attribute="1" defaultMemberUniqueName="[HR_Analytics].[PercentSalaryHike].[All]" allUniqueName="[HR_Analytics].[PercentSalaryHike].[All]" dimensionUniqueName="[HR_Analytics]" displayFolder="" count="0" memberValueDatatype="20" unbalanced="0"/>
    <cacheHierarchy uniqueName="[HR_Analytics].[PerformanceRating]" caption="PerformanceRating" attribute="1" defaultMemberUniqueName="[HR_Analytics].[PerformanceRating].[All]" allUniqueName="[HR_Analytics].[PerformanceRating].[All]" dimensionUniqueName="[HR_Analytics]" displayFolder="" count="0" memberValueDatatype="20" unbalanced="0"/>
    <cacheHierarchy uniqueName="[HR_Analytics].[RelationshipSatisfaction]" caption="RelationshipSatisfaction" attribute="1" defaultMemberUniqueName="[HR_Analytics].[RelationshipSatisfaction].[All]" allUniqueName="[HR_Analytics].[RelationshipSatisfaction].[All]" dimensionUniqueName="[HR_Analytics]" displayFolder="" count="0" memberValueDatatype="20" unbalanced="0"/>
    <cacheHierarchy uniqueName="[HR_Analytics].[StandardHours]" caption="StandardHours" attribute="1" defaultMemberUniqueName="[HR_Analytics].[StandardHours].[All]" allUniqueName="[HR_Analytics].[StandardHours].[All]" dimensionUniqueName="[HR_Analytics]" displayFolder="" count="0" memberValueDatatype="20" unbalanced="0"/>
    <cacheHierarchy uniqueName="[HR_Analytics].[StockOptionLevel]" caption="StockOptionLevel" attribute="1" defaultMemberUniqueName="[HR_Analytics].[StockOptionLevel].[All]" allUniqueName="[HR_Analytics].[StockOptionLevel].[All]" dimensionUniqueName="[HR_Analytics]" displayFolder="" count="0" memberValueDatatype="20" unbalanced="0"/>
    <cacheHierarchy uniqueName="[HR_Analytics].[TotalWorkingYears]" caption="TotalWorkingYears" attribute="1" defaultMemberUniqueName="[HR_Analytics].[TotalWorkingYears].[All]" allUniqueName="[HR_Analytics].[TotalWorkingYears].[All]" dimensionUniqueName="[HR_Analytics]" displayFolder="" count="0" memberValueDatatype="20" unbalanced="0"/>
    <cacheHierarchy uniqueName="[HR_Analytics].[TrainingTimesLastYear]" caption="TrainingTimesLastYear" attribute="1" defaultMemberUniqueName="[HR_Analytics].[TrainingTimesLastYear].[All]" allUniqueName="[HR_Analytics].[TrainingTimesLastYear].[All]" dimensionUniqueName="[HR_Analytics]" displayFolder="" count="0" memberValueDatatype="20" unbalanced="0"/>
    <cacheHierarchy uniqueName="[HR_Analytics].[WorkLifeBalance]" caption="WorkLifeBalance" attribute="1" defaultMemberUniqueName="[HR_Analytics].[WorkLifeBalance].[All]" allUniqueName="[HR_Analytics].[WorkLifeBalance].[All]" dimensionUniqueName="[HR_Analytics]" displayFolder="" count="0" memberValueDatatype="20" unbalanced="0"/>
    <cacheHierarchy uniqueName="[HR_Analytics].[YearsAtCompany]" caption="YearsAtCompany" attribute="1" defaultMemberUniqueName="[HR_Analytics].[YearsAtCompany].[All]" allUniqueName="[HR_Analytics].[YearsAtCompany].[All]" dimensionUniqueName="[HR_Analytics]" displayFolder="" count="0" memberValueDatatype="20" unbalanced="0"/>
    <cacheHierarchy uniqueName="[HR_Analytics].[YearsInCurrentRole]" caption="YearsInCurrentRole" attribute="1" defaultMemberUniqueName="[HR_Analytics].[YearsInCurrentRole].[All]" allUniqueName="[HR_Analytics].[YearsInCurrentRole].[All]" dimensionUniqueName="[HR_Analytics]" displayFolder="" count="0" memberValueDatatype="20" unbalanced="0"/>
    <cacheHierarchy uniqueName="[HR_Analytics].[YearsSinceLastPromotion]" caption="YearsSinceLastPromotion" attribute="1" defaultMemberUniqueName="[HR_Analytics].[YearsSinceLastPromotion].[All]" allUniqueName="[HR_Analytics].[YearsSinceLastPromotion].[All]" dimensionUniqueName="[HR_Analytics]" displayFolder="" count="0" memberValueDatatype="20" unbalanced="0"/>
    <cacheHierarchy uniqueName="[HR_Analytics].[YearsWithCurrManager]" caption="YearsWithCurrManager" attribute="1" defaultMemberUniqueName="[HR_Analytics].[YearsWithCurrManager].[All]" allUniqueName="[HR_Analytics].[YearsWithCurrManager].[All]" dimensionUniqueName="[HR_Analytics]" displayFolder="" count="0" memberValueDatatype="5" unbalanced="0"/>
    <cacheHierarchy uniqueName="[Table1].[Column]" caption="Column" attribute="1" defaultMemberUniqueName="[Table1].[Column].[All]" allUniqueName="[Table1].[Column].[All]" dimensionUniqueName="[Table1]" displayFolder="" count="0" memberValueDatatype="130" unbalanced="0"/>
    <cacheHierarchy uniqueName="[Table1].[المعنى بالعربي]" caption="المعنى بالعربي" attribute="1" defaultMemberUniqueName="[Table1].[المعنى بالعربي].[All]" allUniqueName="[Table1].[المعنى بالعربي].[All]" dimensionUniqueName="[Table1]" displayFolder="" count="0" memberValueDatatype="130" unbalanced="0"/>
    <cacheHierarchy uniqueName="[Measures].[Total Employess]" caption="Total Employess" measure="1" displayFolder="" measureGroup="HR_Analytics" count="0"/>
    <cacheHierarchy uniqueName="[Measures].[Attrition Rate]" caption="Attrition Rate" measure="1" displayFolder="" measureGroup="HR_Analytics" count="0" oneField="1">
      <fieldsUsage count="1">
        <fieldUsage x="0"/>
      </fieldsUsage>
    </cacheHierarchy>
    <cacheHierarchy uniqueName="[Measures].[Overtime Rate]" caption="Overtime Rate" measure="1" displayFolder="" measureGroup="HR_Analytics" count="0"/>
    <cacheHierarchy uniqueName="[Measures].[Stasfaction Score]" caption="Stasfaction Score" measure="1" displayFolder="" measureGroup="HR_Analytics" count="0"/>
    <cacheHierarchy uniqueName="[Measures].[Monthly Income]" caption="Monthly Income" measure="1" displayFolder="" measureGroup="HR_Analytics" count="0"/>
    <cacheHierarchy uniqueName="[Measures].[Avg Age]" caption="Avg Age" measure="1" displayFolder="" measureGroup="HR_Analytics" count="0"/>
    <cacheHierarchy uniqueName="[Measures].[Avg Tenure]" caption="Avg Tenure" measure="1" displayFolder="" measureGroup="HR_Analytics" count="0"/>
    <cacheHierarchy uniqueName="[Measures].[Avg Env Sat]" caption="Avg Env Sat" measure="1" displayFolder="" measureGroup="HR_Analytics" count="0"/>
    <cacheHierarchy uniqueName="[Measures].[Avg WLB]" caption="Avg WLB" measure="1" displayFolder="" measureGroup="HR_Analytics" count="0"/>
    <cacheHierarchy uniqueName="[Measures].[__XL_Count Table1]" caption="__XL_Count Table1" measure="1" displayFolder="" measureGroup="Table1" count="0" hidden="1"/>
    <cacheHierarchy uniqueName="[Measures].[__XL_Count HR_Analytics]" caption="__XL_Count HR_Analytics" measure="1" displayFolder="" measureGroup="HR_Analytics" count="0" hidden="1"/>
    <cacheHierarchy uniqueName="[Measures].[__No measures defined]" caption="__No measures defined" measure="1" displayFolder="" count="0" hidden="1"/>
    <cacheHierarchy uniqueName="[Measures].[Sum of Age]" caption="Sum of Age" measure="1" displayFolder="" measureGroup="HR_Analytics" count="0" hidden="1">
      <extLst>
        <ext xmlns:x15="http://schemas.microsoft.com/office/spreadsheetml/2010/11/main" uri="{B97F6D7D-B522-45F9-BDA1-12C45D357490}">
          <x15:cacheHierarchy aggregatedColumn="1"/>
        </ext>
      </extLst>
    </cacheHierarchy>
    <cacheHierarchy uniqueName="[Measures].[Count of Attrition]" caption="Count of Attrition" measure="1" displayFolder="" measureGroup="HR_Analytics" count="0" hidden="1">
      <extLst>
        <ext xmlns:x15="http://schemas.microsoft.com/office/spreadsheetml/2010/11/main" uri="{B97F6D7D-B522-45F9-BDA1-12C45D357490}">
          <x15:cacheHierarchy aggregatedColumn="3"/>
        </ext>
      </extLst>
    </cacheHierarchy>
    <cacheHierarchy uniqueName="[Measures].[Count of OverTime]" caption="Count of OverTime" measure="1" displayFolder="" measureGroup="HR_Analytics" count="0" hidden="1">
      <extLst>
        <ext xmlns:x15="http://schemas.microsoft.com/office/spreadsheetml/2010/11/main" uri="{B97F6D7D-B522-45F9-BDA1-12C45D357490}">
          <x15:cacheHierarchy aggregatedColumn="25"/>
        </ext>
      </extLst>
    </cacheHierarchy>
    <cacheHierarchy uniqueName="[Measures].[Count of Department]" caption="Count of Department" measure="1" displayFolder="" measureGroup="HR_Analytics" count="0" hidden="1">
      <extLst>
        <ext xmlns:x15="http://schemas.microsoft.com/office/spreadsheetml/2010/11/main" uri="{B97F6D7D-B522-45F9-BDA1-12C45D357490}">
          <x15:cacheHierarchy aggregatedColumn="6"/>
        </ext>
      </extLst>
    </cacheHierarchy>
  </cacheHierarchies>
  <kpis count="0"/>
  <dimensions count="3">
    <dimension name="HR_Analytics" uniqueName="[HR_Analytics]" caption="HR_Analytics"/>
    <dimension measure="1" name="Measures" uniqueName="[Measures]" caption="Measures"/>
    <dimension name="Table1" uniqueName="[Table1]" caption="Table1"/>
  </dimensions>
  <measureGroups count="2">
    <measureGroup name="HR_Analytics" caption="HR_Analytics"/>
    <measureGroup name="Table1" caption="Table1"/>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323.83359652778" backgroundQuery="1" createdVersion="8" refreshedVersion="8" minRefreshableVersion="3" recordCount="0" supportSubquery="1" supportAdvancedDrill="1" xr:uid="{8C2F503C-1235-453D-92C5-E99059A1A150}">
  <cacheSource type="external" connectionId="2"/>
  <cacheFields count="3">
    <cacheField name="[Measures].[Attrition Rate]" caption="Attrition Rate" numFmtId="0" hierarchy="41" level="32767"/>
    <cacheField name="[HR_Analytics].[JobRole].[JobRole]" caption="JobRole" numFmtId="0" hierarchy="17" level="1">
      <sharedItems count="9">
        <s v="Healthcare Representative"/>
        <s v="Human Resources"/>
        <s v="Laboratory Technician"/>
        <s v="Manager"/>
        <s v="Manufacturing Director"/>
        <s v="Research Director"/>
        <s v="Research Scientist"/>
        <s v="Sales Executive"/>
        <s v="Sales Representative"/>
      </sharedItems>
    </cacheField>
    <cacheField name="[HR_Analytics].[Department].[Department]" caption="Department" numFmtId="0" hierarchy="6" level="1">
      <sharedItems containsSemiMixedTypes="0" containsNonDate="0" containsString="0"/>
    </cacheField>
  </cacheFields>
  <cacheHierarchies count="56">
    <cacheHierarchy uniqueName="[HR_Analytics].[EmpID]" caption="EmpID" attribute="1" defaultMemberUniqueName="[HR_Analytics].[EmpID].[All]" allUniqueName="[HR_Analytics].[EmpID].[All]" dimensionUniqueName="[HR_Analytics]" displayFolder="" count="0" memberValueDatatype="130" unbalanced="0"/>
    <cacheHierarchy uniqueName="[HR_Analytics].[Age]" caption="Age" attribute="1" defaultMemberUniqueName="[HR_Analytics].[Age].[All]" allUniqueName="[HR_Analytics].[Age].[All]" dimensionUniqueName="[HR_Analytics]" displayFolder="" count="0" memberValueDatatype="20" unbalanced="0"/>
    <cacheHierarchy uniqueName="[HR_Analytics].[AgeGroup]" caption="AgeGroup" attribute="1" defaultMemberUniqueName="[HR_Analytics].[AgeGroup].[All]" allUniqueName="[HR_Analytics].[AgeGroup].[All]" dimensionUniqueName="[HR_Analytics]" displayFolder="" count="0" memberValueDatatype="130" unbalanced="0"/>
    <cacheHierarchy uniqueName="[HR_Analytics].[Attrition]" caption="Attrition" attribute="1" defaultMemberUniqueName="[HR_Analytics].[Attrition].[All]" allUniqueName="[HR_Analytics].[Attrition].[All]" dimensionUniqueName="[HR_Analytics]" displayFolder="" count="0" memberValueDatatype="130" unbalanced="0"/>
    <cacheHierarchy uniqueName="[HR_Analytics].[BusinessTravel]" caption="BusinessTravel" attribute="1" defaultMemberUniqueName="[HR_Analytics].[BusinessTravel].[All]" allUniqueName="[HR_Analytics].[BusinessTravel].[All]" dimensionUniqueName="[HR_Analytics]" displayFolder="" count="0" memberValueDatatype="130" unbalanced="0"/>
    <cacheHierarchy uniqueName="[HR_Analytics].[DailyRate]" caption="DailyRate" attribute="1" defaultMemberUniqueName="[HR_Analytics].[DailyRate].[All]" allUniqueName="[HR_Analytics].[DailyRate].[All]" dimensionUniqueName="[HR_Analytics]" displayFolder="" count="0" memberValueDatatype="20" unbalanced="0"/>
    <cacheHierarchy uniqueName="[HR_Analytics].[Department]" caption="Department" attribute="1" defaultMemberUniqueName="[HR_Analytics].[Department].[All]" allUniqueName="[HR_Analytics].[Department].[All]" dimensionUniqueName="[HR_Analytics]" displayFolder="" count="2" memberValueDatatype="130" unbalanced="0">
      <fieldsUsage count="2">
        <fieldUsage x="-1"/>
        <fieldUsage x="2"/>
      </fieldsUsage>
    </cacheHierarchy>
    <cacheHierarchy uniqueName="[HR_Analytics].[DistanceFromHome]" caption="DistanceFromHome" attribute="1" defaultMemberUniqueName="[HR_Analytics].[DistanceFromHome].[All]" allUniqueName="[HR_Analytics].[DistanceFromHome].[All]" dimensionUniqueName="[HR_Analytics]" displayFolder="" count="0" memberValueDatatype="20" unbalanced="0"/>
    <cacheHierarchy uniqueName="[HR_Analytics].[Education]" caption="Education" attribute="1" defaultMemberUniqueName="[HR_Analytics].[Education].[All]" allUniqueName="[HR_Analytics].[Education].[All]" dimensionUniqueName="[HR_Analytics]" displayFolder="" count="0" memberValueDatatype="20" unbalanced="0"/>
    <cacheHierarchy uniqueName="[HR_Analytics].[EducationField]" caption="EducationField" attribute="1" defaultMemberUniqueName="[HR_Analytics].[EducationField].[All]" allUniqueName="[HR_Analytics].[EducationField].[All]" dimensionUniqueName="[HR_Analytics]" displayFolder="" count="0" memberValueDatatype="130" unbalanced="0"/>
    <cacheHierarchy uniqueName="[HR_Analytics].[EmployeeCount]" caption="EmployeeCount" attribute="1" defaultMemberUniqueName="[HR_Analytics].[EmployeeCount].[All]" allUniqueName="[HR_Analytics].[EmployeeCount].[All]" dimensionUniqueName="[HR_Analytics]" displayFolder="" count="0" memberValueDatatype="20" unbalanced="0"/>
    <cacheHierarchy uniqueName="[HR_Analytics].[EmployeeNumber]" caption="EmployeeNumber" attribute="1" defaultMemberUniqueName="[HR_Analytics].[EmployeeNumber].[All]" allUniqueName="[HR_Analytics].[EmployeeNumber].[All]" dimensionUniqueName="[HR_Analytics]" displayFolder="" count="0" memberValueDatatype="20" unbalanced="0"/>
    <cacheHierarchy uniqueName="[HR_Analytics].[EnvironmentSatisfaction]" caption="EnvironmentSatisfaction" attribute="1" defaultMemberUniqueName="[HR_Analytics].[EnvironmentSatisfaction].[All]" allUniqueName="[HR_Analytics].[EnvironmentSatisfaction].[All]" dimensionUniqueName="[HR_Analytics]" displayFolder="" count="0" memberValueDatatype="20" unbalanced="0"/>
    <cacheHierarchy uniqueName="[HR_Analytics].[Gender]" caption="Gender" attribute="1" defaultMemberUniqueName="[HR_Analytics].[Gender].[All]" allUniqueName="[HR_Analytics].[Gender].[All]" dimensionUniqueName="[HR_Analytics]" displayFolder="" count="0" memberValueDatatype="130" unbalanced="0"/>
    <cacheHierarchy uniqueName="[HR_Analytics].[HourlyRate]" caption="HourlyRate" attribute="1" defaultMemberUniqueName="[HR_Analytics].[HourlyRate].[All]" allUniqueName="[HR_Analytics].[HourlyRate].[All]" dimensionUniqueName="[HR_Analytics]" displayFolder="" count="0" memberValueDatatype="20" unbalanced="0"/>
    <cacheHierarchy uniqueName="[HR_Analytics].[JobInvolvement]" caption="JobInvolvement" attribute="1" defaultMemberUniqueName="[HR_Analytics].[JobInvolvement].[All]" allUniqueName="[HR_Analytics].[JobInvolvement].[All]" dimensionUniqueName="[HR_Analytics]" displayFolder="" count="0" memberValueDatatype="20" unbalanced="0"/>
    <cacheHierarchy uniqueName="[HR_Analytics].[JobLevel]" caption="JobLevel" attribute="1" defaultMemberUniqueName="[HR_Analytics].[JobLevel].[All]" allUniqueName="[HR_Analytics].[JobLevel].[All]" dimensionUniqueName="[HR_Analytics]" displayFolder="" count="0" memberValueDatatype="20" unbalanced="0"/>
    <cacheHierarchy uniqueName="[HR_Analytics].[JobRole]" caption="JobRole" attribute="1" defaultMemberUniqueName="[HR_Analytics].[JobRole].[All]" allUniqueName="[HR_Analytics].[JobRole].[All]" dimensionUniqueName="[HR_Analytics]" displayFolder="" count="2" memberValueDatatype="130" unbalanced="0">
      <fieldsUsage count="2">
        <fieldUsage x="-1"/>
        <fieldUsage x="1"/>
      </fieldsUsage>
    </cacheHierarchy>
    <cacheHierarchy uniqueName="[HR_Analytics].[JobSatisfaction]" caption="JobSatisfaction" attribute="1" defaultMemberUniqueName="[HR_Analytics].[JobSatisfaction].[All]" allUniqueName="[HR_Analytics].[JobSatisfaction].[All]" dimensionUniqueName="[HR_Analytics]" displayFolder="" count="0" memberValueDatatype="20" unbalanced="0"/>
    <cacheHierarchy uniqueName="[HR_Analytics].[MaritalStatus]" caption="MaritalStatus" attribute="1" defaultMemberUniqueName="[HR_Analytics].[MaritalStatus].[All]" allUniqueName="[HR_Analytics].[MaritalStatus].[All]" dimensionUniqueName="[HR_Analytics]" displayFolder="" count="0" memberValueDatatype="130" unbalanced="0"/>
    <cacheHierarchy uniqueName="[HR_Analytics].[MonthlyIncome]" caption="MonthlyIncome" attribute="1" defaultMemberUniqueName="[HR_Analytics].[MonthlyIncome].[All]" allUniqueName="[HR_Analytics].[MonthlyIncome].[All]" dimensionUniqueName="[HR_Analytics]" displayFolder="" count="0" memberValueDatatype="20" unbalanced="0"/>
    <cacheHierarchy uniqueName="[HR_Analytics].[SalarySlab]" caption="SalarySlab" attribute="1" defaultMemberUniqueName="[HR_Analytics].[SalarySlab].[All]" allUniqueName="[HR_Analytics].[SalarySlab].[All]" dimensionUniqueName="[HR_Analytics]" displayFolder="" count="2" memberValueDatatype="130" unbalanced="0"/>
    <cacheHierarchy uniqueName="[HR_Analytics].[MonthlyRate]" caption="MonthlyRate" attribute="1" defaultMemberUniqueName="[HR_Analytics].[MonthlyRate].[All]" allUniqueName="[HR_Analytics].[MonthlyRate].[All]" dimensionUniqueName="[HR_Analytics]" displayFolder="" count="0" memberValueDatatype="20" unbalanced="0"/>
    <cacheHierarchy uniqueName="[HR_Analytics].[NumCompaniesWorked]" caption="NumCompaniesWorked" attribute="1" defaultMemberUniqueName="[HR_Analytics].[NumCompaniesWorked].[All]" allUniqueName="[HR_Analytics].[NumCompaniesWorked].[All]" dimensionUniqueName="[HR_Analytics]" displayFolder="" count="0" memberValueDatatype="20" unbalanced="0"/>
    <cacheHierarchy uniqueName="[HR_Analytics].[Over18]" caption="Over18" attribute="1" defaultMemberUniqueName="[HR_Analytics].[Over18].[All]" allUniqueName="[HR_Analytics].[Over18].[All]" dimensionUniqueName="[HR_Analytics]" displayFolder="" count="0" memberValueDatatype="130" unbalanced="0"/>
    <cacheHierarchy uniqueName="[HR_Analytics].[OverTime]" caption="OverTime" attribute="1" defaultMemberUniqueName="[HR_Analytics].[OverTime].[All]" allUniqueName="[HR_Analytics].[OverTime].[All]" dimensionUniqueName="[HR_Analytics]" displayFolder="" count="0" memberValueDatatype="130" unbalanced="0"/>
    <cacheHierarchy uniqueName="[HR_Analytics].[PercentSalaryHike]" caption="PercentSalaryHike" attribute="1" defaultMemberUniqueName="[HR_Analytics].[PercentSalaryHike].[All]" allUniqueName="[HR_Analytics].[PercentSalaryHike].[All]" dimensionUniqueName="[HR_Analytics]" displayFolder="" count="0" memberValueDatatype="20" unbalanced="0"/>
    <cacheHierarchy uniqueName="[HR_Analytics].[PerformanceRating]" caption="PerformanceRating" attribute="1" defaultMemberUniqueName="[HR_Analytics].[PerformanceRating].[All]" allUniqueName="[HR_Analytics].[PerformanceRating].[All]" dimensionUniqueName="[HR_Analytics]" displayFolder="" count="0" memberValueDatatype="20" unbalanced="0"/>
    <cacheHierarchy uniqueName="[HR_Analytics].[RelationshipSatisfaction]" caption="RelationshipSatisfaction" attribute="1" defaultMemberUniqueName="[HR_Analytics].[RelationshipSatisfaction].[All]" allUniqueName="[HR_Analytics].[RelationshipSatisfaction].[All]" dimensionUniqueName="[HR_Analytics]" displayFolder="" count="0" memberValueDatatype="20" unbalanced="0"/>
    <cacheHierarchy uniqueName="[HR_Analytics].[StandardHours]" caption="StandardHours" attribute="1" defaultMemberUniqueName="[HR_Analytics].[StandardHours].[All]" allUniqueName="[HR_Analytics].[StandardHours].[All]" dimensionUniqueName="[HR_Analytics]" displayFolder="" count="0" memberValueDatatype="20" unbalanced="0"/>
    <cacheHierarchy uniqueName="[HR_Analytics].[StockOptionLevel]" caption="StockOptionLevel" attribute="1" defaultMemberUniqueName="[HR_Analytics].[StockOptionLevel].[All]" allUniqueName="[HR_Analytics].[StockOptionLevel].[All]" dimensionUniqueName="[HR_Analytics]" displayFolder="" count="0" memberValueDatatype="20" unbalanced="0"/>
    <cacheHierarchy uniqueName="[HR_Analytics].[TotalWorkingYears]" caption="TotalWorkingYears" attribute="1" defaultMemberUniqueName="[HR_Analytics].[TotalWorkingYears].[All]" allUniqueName="[HR_Analytics].[TotalWorkingYears].[All]" dimensionUniqueName="[HR_Analytics]" displayFolder="" count="0" memberValueDatatype="20" unbalanced="0"/>
    <cacheHierarchy uniqueName="[HR_Analytics].[TrainingTimesLastYear]" caption="TrainingTimesLastYear" attribute="1" defaultMemberUniqueName="[HR_Analytics].[TrainingTimesLastYear].[All]" allUniqueName="[HR_Analytics].[TrainingTimesLastYear].[All]" dimensionUniqueName="[HR_Analytics]" displayFolder="" count="0" memberValueDatatype="20" unbalanced="0"/>
    <cacheHierarchy uniqueName="[HR_Analytics].[WorkLifeBalance]" caption="WorkLifeBalance" attribute="1" defaultMemberUniqueName="[HR_Analytics].[WorkLifeBalance].[All]" allUniqueName="[HR_Analytics].[WorkLifeBalance].[All]" dimensionUniqueName="[HR_Analytics]" displayFolder="" count="0" memberValueDatatype="20" unbalanced="0"/>
    <cacheHierarchy uniqueName="[HR_Analytics].[YearsAtCompany]" caption="YearsAtCompany" attribute="1" defaultMemberUniqueName="[HR_Analytics].[YearsAtCompany].[All]" allUniqueName="[HR_Analytics].[YearsAtCompany].[All]" dimensionUniqueName="[HR_Analytics]" displayFolder="" count="0" memberValueDatatype="20" unbalanced="0"/>
    <cacheHierarchy uniqueName="[HR_Analytics].[YearsInCurrentRole]" caption="YearsInCurrentRole" attribute="1" defaultMemberUniqueName="[HR_Analytics].[YearsInCurrentRole].[All]" allUniqueName="[HR_Analytics].[YearsInCurrentRole].[All]" dimensionUniqueName="[HR_Analytics]" displayFolder="" count="0" memberValueDatatype="20" unbalanced="0"/>
    <cacheHierarchy uniqueName="[HR_Analytics].[YearsSinceLastPromotion]" caption="YearsSinceLastPromotion" attribute="1" defaultMemberUniqueName="[HR_Analytics].[YearsSinceLastPromotion].[All]" allUniqueName="[HR_Analytics].[YearsSinceLastPromotion].[All]" dimensionUniqueName="[HR_Analytics]" displayFolder="" count="0" memberValueDatatype="20" unbalanced="0"/>
    <cacheHierarchy uniqueName="[HR_Analytics].[YearsWithCurrManager]" caption="YearsWithCurrManager" attribute="1" defaultMemberUniqueName="[HR_Analytics].[YearsWithCurrManager].[All]" allUniqueName="[HR_Analytics].[YearsWithCurrManager].[All]" dimensionUniqueName="[HR_Analytics]" displayFolder="" count="0" memberValueDatatype="5" unbalanced="0"/>
    <cacheHierarchy uniqueName="[Table1].[Column]" caption="Column" attribute="1" defaultMemberUniqueName="[Table1].[Column].[All]" allUniqueName="[Table1].[Column].[All]" dimensionUniqueName="[Table1]" displayFolder="" count="0" memberValueDatatype="130" unbalanced="0"/>
    <cacheHierarchy uniqueName="[Table1].[المعنى بالعربي]" caption="المعنى بالعربي" attribute="1" defaultMemberUniqueName="[Table1].[المعنى بالعربي].[All]" allUniqueName="[Table1].[المعنى بالعربي].[All]" dimensionUniqueName="[Table1]" displayFolder="" count="0" memberValueDatatype="130" unbalanced="0"/>
    <cacheHierarchy uniqueName="[Measures].[Total Employess]" caption="Total Employess" measure="1" displayFolder="" measureGroup="HR_Analytics" count="0"/>
    <cacheHierarchy uniqueName="[Measures].[Attrition Rate]" caption="Attrition Rate" measure="1" displayFolder="" measureGroup="HR_Analytics" count="0" oneField="1">
      <fieldsUsage count="1">
        <fieldUsage x="0"/>
      </fieldsUsage>
    </cacheHierarchy>
    <cacheHierarchy uniqueName="[Measures].[Overtime Rate]" caption="Overtime Rate" measure="1" displayFolder="" measureGroup="HR_Analytics" count="0"/>
    <cacheHierarchy uniqueName="[Measures].[Stasfaction Score]" caption="Stasfaction Score" measure="1" displayFolder="" measureGroup="HR_Analytics" count="0"/>
    <cacheHierarchy uniqueName="[Measures].[Monthly Income]" caption="Monthly Income" measure="1" displayFolder="" measureGroup="HR_Analytics" count="0"/>
    <cacheHierarchy uniqueName="[Measures].[Avg Age]" caption="Avg Age" measure="1" displayFolder="" measureGroup="HR_Analytics" count="0"/>
    <cacheHierarchy uniqueName="[Measures].[Avg Tenure]" caption="Avg Tenure" measure="1" displayFolder="" measureGroup="HR_Analytics" count="0"/>
    <cacheHierarchy uniqueName="[Measures].[Avg Env Sat]" caption="Avg Env Sat" measure="1" displayFolder="" measureGroup="HR_Analytics" count="0"/>
    <cacheHierarchy uniqueName="[Measures].[Avg WLB]" caption="Avg WLB" measure="1" displayFolder="" measureGroup="HR_Analytics" count="0"/>
    <cacheHierarchy uniqueName="[Measures].[__XL_Count Table1]" caption="__XL_Count Table1" measure="1" displayFolder="" measureGroup="Table1" count="0" hidden="1"/>
    <cacheHierarchy uniqueName="[Measures].[__XL_Count HR_Analytics]" caption="__XL_Count HR_Analytics" measure="1" displayFolder="" measureGroup="HR_Analytics" count="0" hidden="1"/>
    <cacheHierarchy uniqueName="[Measures].[__No measures defined]" caption="__No measures defined" measure="1" displayFolder="" count="0" hidden="1"/>
    <cacheHierarchy uniqueName="[Measures].[Sum of Age]" caption="Sum of Age" measure="1" displayFolder="" measureGroup="HR_Analytics" count="0" hidden="1">
      <extLst>
        <ext xmlns:x15="http://schemas.microsoft.com/office/spreadsheetml/2010/11/main" uri="{B97F6D7D-B522-45F9-BDA1-12C45D357490}">
          <x15:cacheHierarchy aggregatedColumn="1"/>
        </ext>
      </extLst>
    </cacheHierarchy>
    <cacheHierarchy uniqueName="[Measures].[Count of Attrition]" caption="Count of Attrition" measure="1" displayFolder="" measureGroup="HR_Analytics" count="0" hidden="1">
      <extLst>
        <ext xmlns:x15="http://schemas.microsoft.com/office/spreadsheetml/2010/11/main" uri="{B97F6D7D-B522-45F9-BDA1-12C45D357490}">
          <x15:cacheHierarchy aggregatedColumn="3"/>
        </ext>
      </extLst>
    </cacheHierarchy>
    <cacheHierarchy uniqueName="[Measures].[Count of OverTime]" caption="Count of OverTime" measure="1" displayFolder="" measureGroup="HR_Analytics" count="0" hidden="1">
      <extLst>
        <ext xmlns:x15="http://schemas.microsoft.com/office/spreadsheetml/2010/11/main" uri="{B97F6D7D-B522-45F9-BDA1-12C45D357490}">
          <x15:cacheHierarchy aggregatedColumn="25"/>
        </ext>
      </extLst>
    </cacheHierarchy>
    <cacheHierarchy uniqueName="[Measures].[Count of Department]" caption="Count of Department" measure="1" displayFolder="" measureGroup="HR_Analytics" count="0" hidden="1">
      <extLst>
        <ext xmlns:x15="http://schemas.microsoft.com/office/spreadsheetml/2010/11/main" uri="{B97F6D7D-B522-45F9-BDA1-12C45D357490}">
          <x15:cacheHierarchy aggregatedColumn="6"/>
        </ext>
      </extLst>
    </cacheHierarchy>
  </cacheHierarchies>
  <kpis count="0"/>
  <dimensions count="3">
    <dimension name="HR_Analytics" uniqueName="[HR_Analytics]" caption="HR_Analytics"/>
    <dimension measure="1" name="Measures" uniqueName="[Measures]" caption="Measures"/>
    <dimension name="Table1" uniqueName="[Table1]" caption="Table1"/>
  </dimensions>
  <measureGroups count="2">
    <measureGroup name="HR_Analytics" caption="HR_Analytics"/>
    <measureGroup name="Table1" caption="Table1"/>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323.833596759257" backgroundQuery="1" createdVersion="8" refreshedVersion="8" minRefreshableVersion="3" recordCount="0" supportSubquery="1" supportAdvancedDrill="1" xr:uid="{49F5BD71-2E22-401C-BDF7-93EE3903C429}">
  <cacheSource type="external" connectionId="2"/>
  <cacheFields count="2">
    <cacheField name="[Measures].[Monthly Income]" caption="Monthly Income" numFmtId="0" hierarchy="44" level="32767"/>
    <cacheField name="[HR_Analytics].[Department].[Department]" caption="Department" numFmtId="0" hierarchy="6" level="1">
      <sharedItems containsSemiMixedTypes="0" containsNonDate="0" containsString="0"/>
    </cacheField>
  </cacheFields>
  <cacheHierarchies count="56">
    <cacheHierarchy uniqueName="[HR_Analytics].[EmpID]" caption="EmpID" attribute="1" defaultMemberUniqueName="[HR_Analytics].[EmpID].[All]" allUniqueName="[HR_Analytics].[EmpID].[All]" dimensionUniqueName="[HR_Analytics]" displayFolder="" count="0" memberValueDatatype="130" unbalanced="0"/>
    <cacheHierarchy uniqueName="[HR_Analytics].[Age]" caption="Age" attribute="1" defaultMemberUniqueName="[HR_Analytics].[Age].[All]" allUniqueName="[HR_Analytics].[Age].[All]" dimensionUniqueName="[HR_Analytics]" displayFolder="" count="0" memberValueDatatype="20" unbalanced="0"/>
    <cacheHierarchy uniqueName="[HR_Analytics].[AgeGroup]" caption="AgeGroup" attribute="1" defaultMemberUniqueName="[HR_Analytics].[AgeGroup].[All]" allUniqueName="[HR_Analytics].[AgeGroup].[All]" dimensionUniqueName="[HR_Analytics]" displayFolder="" count="0" memberValueDatatype="130" unbalanced="0"/>
    <cacheHierarchy uniqueName="[HR_Analytics].[Attrition]" caption="Attrition" attribute="1" defaultMemberUniqueName="[HR_Analytics].[Attrition].[All]" allUniqueName="[HR_Analytics].[Attrition].[All]" dimensionUniqueName="[HR_Analytics]" displayFolder="" count="0" memberValueDatatype="130" unbalanced="0"/>
    <cacheHierarchy uniqueName="[HR_Analytics].[BusinessTravel]" caption="BusinessTravel" attribute="1" defaultMemberUniqueName="[HR_Analytics].[BusinessTravel].[All]" allUniqueName="[HR_Analytics].[BusinessTravel].[All]" dimensionUniqueName="[HR_Analytics]" displayFolder="" count="0" memberValueDatatype="130" unbalanced="0"/>
    <cacheHierarchy uniqueName="[HR_Analytics].[DailyRate]" caption="DailyRate" attribute="1" defaultMemberUniqueName="[HR_Analytics].[DailyRate].[All]" allUniqueName="[HR_Analytics].[DailyRate].[All]" dimensionUniqueName="[HR_Analytics]" displayFolder="" count="0" memberValueDatatype="20" unbalanced="0"/>
    <cacheHierarchy uniqueName="[HR_Analytics].[Department]" caption="Department" attribute="1" defaultMemberUniqueName="[HR_Analytics].[Department].[All]" allUniqueName="[HR_Analytics].[Department].[All]" dimensionUniqueName="[HR_Analytics]" displayFolder="" count="2" memberValueDatatype="130" unbalanced="0">
      <fieldsUsage count="2">
        <fieldUsage x="-1"/>
        <fieldUsage x="1"/>
      </fieldsUsage>
    </cacheHierarchy>
    <cacheHierarchy uniqueName="[HR_Analytics].[DistanceFromHome]" caption="DistanceFromHome" attribute="1" defaultMemberUniqueName="[HR_Analytics].[DistanceFromHome].[All]" allUniqueName="[HR_Analytics].[DistanceFromHome].[All]" dimensionUniqueName="[HR_Analytics]" displayFolder="" count="0" memberValueDatatype="20" unbalanced="0"/>
    <cacheHierarchy uniqueName="[HR_Analytics].[Education]" caption="Education" attribute="1" defaultMemberUniqueName="[HR_Analytics].[Education].[All]" allUniqueName="[HR_Analytics].[Education].[All]" dimensionUniqueName="[HR_Analytics]" displayFolder="" count="0" memberValueDatatype="20" unbalanced="0"/>
    <cacheHierarchy uniqueName="[HR_Analytics].[EducationField]" caption="EducationField" attribute="1" defaultMemberUniqueName="[HR_Analytics].[EducationField].[All]" allUniqueName="[HR_Analytics].[EducationField].[All]" dimensionUniqueName="[HR_Analytics]" displayFolder="" count="0" memberValueDatatype="130" unbalanced="0"/>
    <cacheHierarchy uniqueName="[HR_Analytics].[EmployeeCount]" caption="EmployeeCount" attribute="1" defaultMemberUniqueName="[HR_Analytics].[EmployeeCount].[All]" allUniqueName="[HR_Analytics].[EmployeeCount].[All]" dimensionUniqueName="[HR_Analytics]" displayFolder="" count="0" memberValueDatatype="20" unbalanced="0"/>
    <cacheHierarchy uniqueName="[HR_Analytics].[EmployeeNumber]" caption="EmployeeNumber" attribute="1" defaultMemberUniqueName="[HR_Analytics].[EmployeeNumber].[All]" allUniqueName="[HR_Analytics].[EmployeeNumber].[All]" dimensionUniqueName="[HR_Analytics]" displayFolder="" count="0" memberValueDatatype="20" unbalanced="0"/>
    <cacheHierarchy uniqueName="[HR_Analytics].[EnvironmentSatisfaction]" caption="EnvironmentSatisfaction" attribute="1" defaultMemberUniqueName="[HR_Analytics].[EnvironmentSatisfaction].[All]" allUniqueName="[HR_Analytics].[EnvironmentSatisfaction].[All]" dimensionUniqueName="[HR_Analytics]" displayFolder="" count="0" memberValueDatatype="20" unbalanced="0"/>
    <cacheHierarchy uniqueName="[HR_Analytics].[Gender]" caption="Gender" attribute="1" defaultMemberUniqueName="[HR_Analytics].[Gender].[All]" allUniqueName="[HR_Analytics].[Gender].[All]" dimensionUniqueName="[HR_Analytics]" displayFolder="" count="0" memberValueDatatype="130" unbalanced="0"/>
    <cacheHierarchy uniqueName="[HR_Analytics].[HourlyRate]" caption="HourlyRate" attribute="1" defaultMemberUniqueName="[HR_Analytics].[HourlyRate].[All]" allUniqueName="[HR_Analytics].[HourlyRate].[All]" dimensionUniqueName="[HR_Analytics]" displayFolder="" count="0" memberValueDatatype="20" unbalanced="0"/>
    <cacheHierarchy uniqueName="[HR_Analytics].[JobInvolvement]" caption="JobInvolvement" attribute="1" defaultMemberUniqueName="[HR_Analytics].[JobInvolvement].[All]" allUniqueName="[HR_Analytics].[JobInvolvement].[All]" dimensionUniqueName="[HR_Analytics]" displayFolder="" count="0" memberValueDatatype="20" unbalanced="0"/>
    <cacheHierarchy uniqueName="[HR_Analytics].[JobLevel]" caption="JobLevel" attribute="1" defaultMemberUniqueName="[HR_Analytics].[JobLevel].[All]" allUniqueName="[HR_Analytics].[JobLevel].[All]" dimensionUniqueName="[HR_Analytics]" displayFolder="" count="0" memberValueDatatype="20" unbalanced="0"/>
    <cacheHierarchy uniqueName="[HR_Analytics].[JobRole]" caption="JobRole" attribute="1" defaultMemberUniqueName="[HR_Analytics].[JobRole].[All]" allUniqueName="[HR_Analytics].[JobRole].[All]" dimensionUniqueName="[HR_Analytics]" displayFolder="" count="0" memberValueDatatype="130" unbalanced="0"/>
    <cacheHierarchy uniqueName="[HR_Analytics].[JobSatisfaction]" caption="JobSatisfaction" attribute="1" defaultMemberUniqueName="[HR_Analytics].[JobSatisfaction].[All]" allUniqueName="[HR_Analytics].[JobSatisfaction].[All]" dimensionUniqueName="[HR_Analytics]" displayFolder="" count="0" memberValueDatatype="20" unbalanced="0"/>
    <cacheHierarchy uniqueName="[HR_Analytics].[MaritalStatus]" caption="MaritalStatus" attribute="1" defaultMemberUniqueName="[HR_Analytics].[MaritalStatus].[All]" allUniqueName="[HR_Analytics].[MaritalStatus].[All]" dimensionUniqueName="[HR_Analytics]" displayFolder="" count="0" memberValueDatatype="130" unbalanced="0"/>
    <cacheHierarchy uniqueName="[HR_Analytics].[MonthlyIncome]" caption="MonthlyIncome" attribute="1" defaultMemberUniqueName="[HR_Analytics].[MonthlyIncome].[All]" allUniqueName="[HR_Analytics].[MonthlyIncome].[All]" dimensionUniqueName="[HR_Analytics]" displayFolder="" count="0" memberValueDatatype="20" unbalanced="0"/>
    <cacheHierarchy uniqueName="[HR_Analytics].[SalarySlab]" caption="SalarySlab" attribute="1" defaultMemberUniqueName="[HR_Analytics].[SalarySlab].[All]" allUniqueName="[HR_Analytics].[SalarySlab].[All]" dimensionUniqueName="[HR_Analytics]" displayFolder="" count="2" memberValueDatatype="130" unbalanced="0"/>
    <cacheHierarchy uniqueName="[HR_Analytics].[MonthlyRate]" caption="MonthlyRate" attribute="1" defaultMemberUniqueName="[HR_Analytics].[MonthlyRate].[All]" allUniqueName="[HR_Analytics].[MonthlyRate].[All]" dimensionUniqueName="[HR_Analytics]" displayFolder="" count="0" memberValueDatatype="20" unbalanced="0"/>
    <cacheHierarchy uniqueName="[HR_Analytics].[NumCompaniesWorked]" caption="NumCompaniesWorked" attribute="1" defaultMemberUniqueName="[HR_Analytics].[NumCompaniesWorked].[All]" allUniqueName="[HR_Analytics].[NumCompaniesWorked].[All]" dimensionUniqueName="[HR_Analytics]" displayFolder="" count="0" memberValueDatatype="20" unbalanced="0"/>
    <cacheHierarchy uniqueName="[HR_Analytics].[Over18]" caption="Over18" attribute="1" defaultMemberUniqueName="[HR_Analytics].[Over18].[All]" allUniqueName="[HR_Analytics].[Over18].[All]" dimensionUniqueName="[HR_Analytics]" displayFolder="" count="0" memberValueDatatype="130" unbalanced="0"/>
    <cacheHierarchy uniqueName="[HR_Analytics].[OverTime]" caption="OverTime" attribute="1" defaultMemberUniqueName="[HR_Analytics].[OverTime].[All]" allUniqueName="[HR_Analytics].[OverTime].[All]" dimensionUniqueName="[HR_Analytics]" displayFolder="" count="0" memberValueDatatype="130" unbalanced="0"/>
    <cacheHierarchy uniqueName="[HR_Analytics].[PercentSalaryHike]" caption="PercentSalaryHike" attribute="1" defaultMemberUniqueName="[HR_Analytics].[PercentSalaryHike].[All]" allUniqueName="[HR_Analytics].[PercentSalaryHike].[All]" dimensionUniqueName="[HR_Analytics]" displayFolder="" count="0" memberValueDatatype="20" unbalanced="0"/>
    <cacheHierarchy uniqueName="[HR_Analytics].[PerformanceRating]" caption="PerformanceRating" attribute="1" defaultMemberUniqueName="[HR_Analytics].[PerformanceRating].[All]" allUniqueName="[HR_Analytics].[PerformanceRating].[All]" dimensionUniqueName="[HR_Analytics]" displayFolder="" count="0" memberValueDatatype="20" unbalanced="0"/>
    <cacheHierarchy uniqueName="[HR_Analytics].[RelationshipSatisfaction]" caption="RelationshipSatisfaction" attribute="1" defaultMemberUniqueName="[HR_Analytics].[RelationshipSatisfaction].[All]" allUniqueName="[HR_Analytics].[RelationshipSatisfaction].[All]" dimensionUniqueName="[HR_Analytics]" displayFolder="" count="0" memberValueDatatype="20" unbalanced="0"/>
    <cacheHierarchy uniqueName="[HR_Analytics].[StandardHours]" caption="StandardHours" attribute="1" defaultMemberUniqueName="[HR_Analytics].[StandardHours].[All]" allUniqueName="[HR_Analytics].[StandardHours].[All]" dimensionUniqueName="[HR_Analytics]" displayFolder="" count="0" memberValueDatatype="20" unbalanced="0"/>
    <cacheHierarchy uniqueName="[HR_Analytics].[StockOptionLevel]" caption="StockOptionLevel" attribute="1" defaultMemberUniqueName="[HR_Analytics].[StockOptionLevel].[All]" allUniqueName="[HR_Analytics].[StockOptionLevel].[All]" dimensionUniqueName="[HR_Analytics]" displayFolder="" count="0" memberValueDatatype="20" unbalanced="0"/>
    <cacheHierarchy uniqueName="[HR_Analytics].[TotalWorkingYears]" caption="TotalWorkingYears" attribute="1" defaultMemberUniqueName="[HR_Analytics].[TotalWorkingYears].[All]" allUniqueName="[HR_Analytics].[TotalWorkingYears].[All]" dimensionUniqueName="[HR_Analytics]" displayFolder="" count="0" memberValueDatatype="20" unbalanced="0"/>
    <cacheHierarchy uniqueName="[HR_Analytics].[TrainingTimesLastYear]" caption="TrainingTimesLastYear" attribute="1" defaultMemberUniqueName="[HR_Analytics].[TrainingTimesLastYear].[All]" allUniqueName="[HR_Analytics].[TrainingTimesLastYear].[All]" dimensionUniqueName="[HR_Analytics]" displayFolder="" count="0" memberValueDatatype="20" unbalanced="0"/>
    <cacheHierarchy uniqueName="[HR_Analytics].[WorkLifeBalance]" caption="WorkLifeBalance" attribute="1" defaultMemberUniqueName="[HR_Analytics].[WorkLifeBalance].[All]" allUniqueName="[HR_Analytics].[WorkLifeBalance].[All]" dimensionUniqueName="[HR_Analytics]" displayFolder="" count="0" memberValueDatatype="20" unbalanced="0"/>
    <cacheHierarchy uniqueName="[HR_Analytics].[YearsAtCompany]" caption="YearsAtCompany" attribute="1" defaultMemberUniqueName="[HR_Analytics].[YearsAtCompany].[All]" allUniqueName="[HR_Analytics].[YearsAtCompany].[All]" dimensionUniqueName="[HR_Analytics]" displayFolder="" count="0" memberValueDatatype="20" unbalanced="0"/>
    <cacheHierarchy uniqueName="[HR_Analytics].[YearsInCurrentRole]" caption="YearsInCurrentRole" attribute="1" defaultMemberUniqueName="[HR_Analytics].[YearsInCurrentRole].[All]" allUniqueName="[HR_Analytics].[YearsInCurrentRole].[All]" dimensionUniqueName="[HR_Analytics]" displayFolder="" count="0" memberValueDatatype="20" unbalanced="0"/>
    <cacheHierarchy uniqueName="[HR_Analytics].[YearsSinceLastPromotion]" caption="YearsSinceLastPromotion" attribute="1" defaultMemberUniqueName="[HR_Analytics].[YearsSinceLastPromotion].[All]" allUniqueName="[HR_Analytics].[YearsSinceLastPromotion].[All]" dimensionUniqueName="[HR_Analytics]" displayFolder="" count="0" memberValueDatatype="20" unbalanced="0"/>
    <cacheHierarchy uniqueName="[HR_Analytics].[YearsWithCurrManager]" caption="YearsWithCurrManager" attribute="1" defaultMemberUniqueName="[HR_Analytics].[YearsWithCurrManager].[All]" allUniqueName="[HR_Analytics].[YearsWithCurrManager].[All]" dimensionUniqueName="[HR_Analytics]" displayFolder="" count="0" memberValueDatatype="5" unbalanced="0"/>
    <cacheHierarchy uniqueName="[Table1].[Column]" caption="Column" attribute="1" defaultMemberUniqueName="[Table1].[Column].[All]" allUniqueName="[Table1].[Column].[All]" dimensionUniqueName="[Table1]" displayFolder="" count="0" memberValueDatatype="130" unbalanced="0"/>
    <cacheHierarchy uniqueName="[Table1].[المعنى بالعربي]" caption="المعنى بالعربي" attribute="1" defaultMemberUniqueName="[Table1].[المعنى بالعربي].[All]" allUniqueName="[Table1].[المعنى بالعربي].[All]" dimensionUniqueName="[Table1]" displayFolder="" count="0" memberValueDatatype="130" unbalanced="0"/>
    <cacheHierarchy uniqueName="[Measures].[Total Employess]" caption="Total Employess" measure="1" displayFolder="" measureGroup="HR_Analytics" count="0"/>
    <cacheHierarchy uniqueName="[Measures].[Attrition Rate]" caption="Attrition Rate" measure="1" displayFolder="" measureGroup="HR_Analytics" count="0"/>
    <cacheHierarchy uniqueName="[Measures].[Overtime Rate]" caption="Overtime Rate" measure="1" displayFolder="" measureGroup="HR_Analytics" count="0"/>
    <cacheHierarchy uniqueName="[Measures].[Stasfaction Score]" caption="Stasfaction Score" measure="1" displayFolder="" measureGroup="HR_Analytics" count="0"/>
    <cacheHierarchy uniqueName="[Measures].[Monthly Income]" caption="Monthly Income" measure="1" displayFolder="" measureGroup="HR_Analytics" count="0" oneField="1">
      <fieldsUsage count="1">
        <fieldUsage x="0"/>
      </fieldsUsage>
    </cacheHierarchy>
    <cacheHierarchy uniqueName="[Measures].[Avg Age]" caption="Avg Age" measure="1" displayFolder="" measureGroup="HR_Analytics" count="0"/>
    <cacheHierarchy uniqueName="[Measures].[Avg Tenure]" caption="Avg Tenure" measure="1" displayFolder="" measureGroup="HR_Analytics" count="0"/>
    <cacheHierarchy uniqueName="[Measures].[Avg Env Sat]" caption="Avg Env Sat" measure="1" displayFolder="" measureGroup="HR_Analytics" count="0"/>
    <cacheHierarchy uniqueName="[Measures].[Avg WLB]" caption="Avg WLB" measure="1" displayFolder="" measureGroup="HR_Analytics" count="0"/>
    <cacheHierarchy uniqueName="[Measures].[__XL_Count Table1]" caption="__XL_Count Table1" measure="1" displayFolder="" measureGroup="Table1" count="0" hidden="1"/>
    <cacheHierarchy uniqueName="[Measures].[__XL_Count HR_Analytics]" caption="__XL_Count HR_Analytics" measure="1" displayFolder="" measureGroup="HR_Analytics" count="0" hidden="1"/>
    <cacheHierarchy uniqueName="[Measures].[__No measures defined]" caption="__No measures defined" measure="1" displayFolder="" count="0" hidden="1"/>
    <cacheHierarchy uniqueName="[Measures].[Sum of Age]" caption="Sum of Age" measure="1" displayFolder="" measureGroup="HR_Analytics" count="0" hidden="1">
      <extLst>
        <ext xmlns:x15="http://schemas.microsoft.com/office/spreadsheetml/2010/11/main" uri="{B97F6D7D-B522-45F9-BDA1-12C45D357490}">
          <x15:cacheHierarchy aggregatedColumn="1"/>
        </ext>
      </extLst>
    </cacheHierarchy>
    <cacheHierarchy uniqueName="[Measures].[Count of Attrition]" caption="Count of Attrition" measure="1" displayFolder="" measureGroup="HR_Analytics" count="0" hidden="1">
      <extLst>
        <ext xmlns:x15="http://schemas.microsoft.com/office/spreadsheetml/2010/11/main" uri="{B97F6D7D-B522-45F9-BDA1-12C45D357490}">
          <x15:cacheHierarchy aggregatedColumn="3"/>
        </ext>
      </extLst>
    </cacheHierarchy>
    <cacheHierarchy uniqueName="[Measures].[Count of OverTime]" caption="Count of OverTime" measure="1" displayFolder="" measureGroup="HR_Analytics" count="0" hidden="1">
      <extLst>
        <ext xmlns:x15="http://schemas.microsoft.com/office/spreadsheetml/2010/11/main" uri="{B97F6D7D-B522-45F9-BDA1-12C45D357490}">
          <x15:cacheHierarchy aggregatedColumn="25"/>
        </ext>
      </extLst>
    </cacheHierarchy>
    <cacheHierarchy uniqueName="[Measures].[Count of Department]" caption="Count of Department" measure="1" displayFolder="" measureGroup="HR_Analytics" count="0" hidden="1">
      <extLst>
        <ext xmlns:x15="http://schemas.microsoft.com/office/spreadsheetml/2010/11/main" uri="{B97F6D7D-B522-45F9-BDA1-12C45D357490}">
          <x15:cacheHierarchy aggregatedColumn="6"/>
        </ext>
      </extLst>
    </cacheHierarchy>
  </cacheHierarchies>
  <kpis count="0"/>
  <dimensions count="3">
    <dimension name="HR_Analytics" uniqueName="[HR_Analytics]" caption="HR_Analytics"/>
    <dimension measure="1" name="Measures" uniqueName="[Measures]" caption="Measures"/>
    <dimension name="Table1" uniqueName="[Table1]" caption="Table1"/>
  </dimensions>
  <measureGroups count="2">
    <measureGroup name="HR_Analytics" caption="HR_Analytics"/>
    <measureGroup name="Table1" caption="Table1"/>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323.833597106481" backgroundQuery="1" createdVersion="8" refreshedVersion="8" minRefreshableVersion="3" recordCount="0" supportSubquery="1" supportAdvancedDrill="1" xr:uid="{B2C55549-5FAA-44F6-83B5-406EF6CD4E7B}">
  <cacheSource type="external" connectionId="2"/>
  <cacheFields count="2">
    <cacheField name="[Measures].[Overtime Rate]" caption="Overtime Rate" numFmtId="0" hierarchy="42" level="32767"/>
    <cacheField name="[HR_Analytics].[Department].[Department]" caption="Department" numFmtId="0" hierarchy="6" level="1">
      <sharedItems containsSemiMixedTypes="0" containsNonDate="0" containsString="0"/>
    </cacheField>
  </cacheFields>
  <cacheHierarchies count="56">
    <cacheHierarchy uniqueName="[HR_Analytics].[EmpID]" caption="EmpID" attribute="1" defaultMemberUniqueName="[HR_Analytics].[EmpID].[All]" allUniqueName="[HR_Analytics].[EmpID].[All]" dimensionUniqueName="[HR_Analytics]" displayFolder="" count="0" memberValueDatatype="130" unbalanced="0"/>
    <cacheHierarchy uniqueName="[HR_Analytics].[Age]" caption="Age" attribute="1" defaultMemberUniqueName="[HR_Analytics].[Age].[All]" allUniqueName="[HR_Analytics].[Age].[All]" dimensionUniqueName="[HR_Analytics]" displayFolder="" count="0" memberValueDatatype="20" unbalanced="0"/>
    <cacheHierarchy uniqueName="[HR_Analytics].[AgeGroup]" caption="AgeGroup" attribute="1" defaultMemberUniqueName="[HR_Analytics].[AgeGroup].[All]" allUniqueName="[HR_Analytics].[AgeGroup].[All]" dimensionUniqueName="[HR_Analytics]" displayFolder="" count="0" memberValueDatatype="130" unbalanced="0"/>
    <cacheHierarchy uniqueName="[HR_Analytics].[Attrition]" caption="Attrition" attribute="1" defaultMemberUniqueName="[HR_Analytics].[Attrition].[All]" allUniqueName="[HR_Analytics].[Attrition].[All]" dimensionUniqueName="[HR_Analytics]" displayFolder="" count="0" memberValueDatatype="130" unbalanced="0"/>
    <cacheHierarchy uniqueName="[HR_Analytics].[BusinessTravel]" caption="BusinessTravel" attribute="1" defaultMemberUniqueName="[HR_Analytics].[BusinessTravel].[All]" allUniqueName="[HR_Analytics].[BusinessTravel].[All]" dimensionUniqueName="[HR_Analytics]" displayFolder="" count="0" memberValueDatatype="130" unbalanced="0"/>
    <cacheHierarchy uniqueName="[HR_Analytics].[DailyRate]" caption="DailyRate" attribute="1" defaultMemberUniqueName="[HR_Analytics].[DailyRate].[All]" allUniqueName="[HR_Analytics].[DailyRate].[All]" dimensionUniqueName="[HR_Analytics]" displayFolder="" count="0" memberValueDatatype="20" unbalanced="0"/>
    <cacheHierarchy uniqueName="[HR_Analytics].[Department]" caption="Department" attribute="1" defaultMemberUniqueName="[HR_Analytics].[Department].[All]" allUniqueName="[HR_Analytics].[Department].[All]" dimensionUniqueName="[HR_Analytics]" displayFolder="" count="2" memberValueDatatype="130" unbalanced="0">
      <fieldsUsage count="2">
        <fieldUsage x="-1"/>
        <fieldUsage x="1"/>
      </fieldsUsage>
    </cacheHierarchy>
    <cacheHierarchy uniqueName="[HR_Analytics].[DistanceFromHome]" caption="DistanceFromHome" attribute="1" defaultMemberUniqueName="[HR_Analytics].[DistanceFromHome].[All]" allUniqueName="[HR_Analytics].[DistanceFromHome].[All]" dimensionUniqueName="[HR_Analytics]" displayFolder="" count="0" memberValueDatatype="20" unbalanced="0"/>
    <cacheHierarchy uniqueName="[HR_Analytics].[Education]" caption="Education" attribute="1" defaultMemberUniqueName="[HR_Analytics].[Education].[All]" allUniqueName="[HR_Analytics].[Education].[All]" dimensionUniqueName="[HR_Analytics]" displayFolder="" count="0" memberValueDatatype="20" unbalanced="0"/>
    <cacheHierarchy uniqueName="[HR_Analytics].[EducationField]" caption="EducationField" attribute="1" defaultMemberUniqueName="[HR_Analytics].[EducationField].[All]" allUniqueName="[HR_Analytics].[EducationField].[All]" dimensionUniqueName="[HR_Analytics]" displayFolder="" count="0" memberValueDatatype="130" unbalanced="0"/>
    <cacheHierarchy uniqueName="[HR_Analytics].[EmployeeCount]" caption="EmployeeCount" attribute="1" defaultMemberUniqueName="[HR_Analytics].[EmployeeCount].[All]" allUniqueName="[HR_Analytics].[EmployeeCount].[All]" dimensionUniqueName="[HR_Analytics]" displayFolder="" count="0" memberValueDatatype="20" unbalanced="0"/>
    <cacheHierarchy uniqueName="[HR_Analytics].[EmployeeNumber]" caption="EmployeeNumber" attribute="1" defaultMemberUniqueName="[HR_Analytics].[EmployeeNumber].[All]" allUniqueName="[HR_Analytics].[EmployeeNumber].[All]" dimensionUniqueName="[HR_Analytics]" displayFolder="" count="0" memberValueDatatype="20" unbalanced="0"/>
    <cacheHierarchy uniqueName="[HR_Analytics].[EnvironmentSatisfaction]" caption="EnvironmentSatisfaction" attribute="1" defaultMemberUniqueName="[HR_Analytics].[EnvironmentSatisfaction].[All]" allUniqueName="[HR_Analytics].[EnvironmentSatisfaction].[All]" dimensionUniqueName="[HR_Analytics]" displayFolder="" count="0" memberValueDatatype="20" unbalanced="0"/>
    <cacheHierarchy uniqueName="[HR_Analytics].[Gender]" caption="Gender" attribute="1" defaultMemberUniqueName="[HR_Analytics].[Gender].[All]" allUniqueName="[HR_Analytics].[Gender].[All]" dimensionUniqueName="[HR_Analytics]" displayFolder="" count="0" memberValueDatatype="130" unbalanced="0"/>
    <cacheHierarchy uniqueName="[HR_Analytics].[HourlyRate]" caption="HourlyRate" attribute="1" defaultMemberUniqueName="[HR_Analytics].[HourlyRate].[All]" allUniqueName="[HR_Analytics].[HourlyRate].[All]" dimensionUniqueName="[HR_Analytics]" displayFolder="" count="0" memberValueDatatype="20" unbalanced="0"/>
    <cacheHierarchy uniqueName="[HR_Analytics].[JobInvolvement]" caption="JobInvolvement" attribute="1" defaultMemberUniqueName="[HR_Analytics].[JobInvolvement].[All]" allUniqueName="[HR_Analytics].[JobInvolvement].[All]" dimensionUniqueName="[HR_Analytics]" displayFolder="" count="0" memberValueDatatype="20" unbalanced="0"/>
    <cacheHierarchy uniqueName="[HR_Analytics].[JobLevel]" caption="JobLevel" attribute="1" defaultMemberUniqueName="[HR_Analytics].[JobLevel].[All]" allUniqueName="[HR_Analytics].[JobLevel].[All]" dimensionUniqueName="[HR_Analytics]" displayFolder="" count="0" memberValueDatatype="20" unbalanced="0"/>
    <cacheHierarchy uniqueName="[HR_Analytics].[JobRole]" caption="JobRole" attribute="1" defaultMemberUniqueName="[HR_Analytics].[JobRole].[All]" allUniqueName="[HR_Analytics].[JobRole].[All]" dimensionUniqueName="[HR_Analytics]" displayFolder="" count="0" memberValueDatatype="130" unbalanced="0"/>
    <cacheHierarchy uniqueName="[HR_Analytics].[JobSatisfaction]" caption="JobSatisfaction" attribute="1" defaultMemberUniqueName="[HR_Analytics].[JobSatisfaction].[All]" allUniqueName="[HR_Analytics].[JobSatisfaction].[All]" dimensionUniqueName="[HR_Analytics]" displayFolder="" count="0" memberValueDatatype="20" unbalanced="0"/>
    <cacheHierarchy uniqueName="[HR_Analytics].[MaritalStatus]" caption="MaritalStatus" attribute="1" defaultMemberUniqueName="[HR_Analytics].[MaritalStatus].[All]" allUniqueName="[HR_Analytics].[MaritalStatus].[All]" dimensionUniqueName="[HR_Analytics]" displayFolder="" count="0" memberValueDatatype="130" unbalanced="0"/>
    <cacheHierarchy uniqueName="[HR_Analytics].[MonthlyIncome]" caption="MonthlyIncome" attribute="1" defaultMemberUniqueName="[HR_Analytics].[MonthlyIncome].[All]" allUniqueName="[HR_Analytics].[MonthlyIncome].[All]" dimensionUniqueName="[HR_Analytics]" displayFolder="" count="0" memberValueDatatype="20" unbalanced="0"/>
    <cacheHierarchy uniqueName="[HR_Analytics].[SalarySlab]" caption="SalarySlab" attribute="1" defaultMemberUniqueName="[HR_Analytics].[SalarySlab].[All]" allUniqueName="[HR_Analytics].[SalarySlab].[All]" dimensionUniqueName="[HR_Analytics]" displayFolder="" count="2" memberValueDatatype="130" unbalanced="0"/>
    <cacheHierarchy uniqueName="[HR_Analytics].[MonthlyRate]" caption="MonthlyRate" attribute="1" defaultMemberUniqueName="[HR_Analytics].[MonthlyRate].[All]" allUniqueName="[HR_Analytics].[MonthlyRate].[All]" dimensionUniqueName="[HR_Analytics]" displayFolder="" count="0" memberValueDatatype="20" unbalanced="0"/>
    <cacheHierarchy uniqueName="[HR_Analytics].[NumCompaniesWorked]" caption="NumCompaniesWorked" attribute="1" defaultMemberUniqueName="[HR_Analytics].[NumCompaniesWorked].[All]" allUniqueName="[HR_Analytics].[NumCompaniesWorked].[All]" dimensionUniqueName="[HR_Analytics]" displayFolder="" count="0" memberValueDatatype="20" unbalanced="0"/>
    <cacheHierarchy uniqueName="[HR_Analytics].[Over18]" caption="Over18" attribute="1" defaultMemberUniqueName="[HR_Analytics].[Over18].[All]" allUniqueName="[HR_Analytics].[Over18].[All]" dimensionUniqueName="[HR_Analytics]" displayFolder="" count="0" memberValueDatatype="130" unbalanced="0"/>
    <cacheHierarchy uniqueName="[HR_Analytics].[OverTime]" caption="OverTime" attribute="1" defaultMemberUniqueName="[HR_Analytics].[OverTime].[All]" allUniqueName="[HR_Analytics].[OverTime].[All]" dimensionUniqueName="[HR_Analytics]" displayFolder="" count="0" memberValueDatatype="130" unbalanced="0"/>
    <cacheHierarchy uniqueName="[HR_Analytics].[PercentSalaryHike]" caption="PercentSalaryHike" attribute="1" defaultMemberUniqueName="[HR_Analytics].[PercentSalaryHike].[All]" allUniqueName="[HR_Analytics].[PercentSalaryHike].[All]" dimensionUniqueName="[HR_Analytics]" displayFolder="" count="0" memberValueDatatype="20" unbalanced="0"/>
    <cacheHierarchy uniqueName="[HR_Analytics].[PerformanceRating]" caption="PerformanceRating" attribute="1" defaultMemberUniqueName="[HR_Analytics].[PerformanceRating].[All]" allUniqueName="[HR_Analytics].[PerformanceRating].[All]" dimensionUniqueName="[HR_Analytics]" displayFolder="" count="0" memberValueDatatype="20" unbalanced="0"/>
    <cacheHierarchy uniqueName="[HR_Analytics].[RelationshipSatisfaction]" caption="RelationshipSatisfaction" attribute="1" defaultMemberUniqueName="[HR_Analytics].[RelationshipSatisfaction].[All]" allUniqueName="[HR_Analytics].[RelationshipSatisfaction].[All]" dimensionUniqueName="[HR_Analytics]" displayFolder="" count="0" memberValueDatatype="20" unbalanced="0"/>
    <cacheHierarchy uniqueName="[HR_Analytics].[StandardHours]" caption="StandardHours" attribute="1" defaultMemberUniqueName="[HR_Analytics].[StandardHours].[All]" allUniqueName="[HR_Analytics].[StandardHours].[All]" dimensionUniqueName="[HR_Analytics]" displayFolder="" count="0" memberValueDatatype="20" unbalanced="0"/>
    <cacheHierarchy uniqueName="[HR_Analytics].[StockOptionLevel]" caption="StockOptionLevel" attribute="1" defaultMemberUniqueName="[HR_Analytics].[StockOptionLevel].[All]" allUniqueName="[HR_Analytics].[StockOptionLevel].[All]" dimensionUniqueName="[HR_Analytics]" displayFolder="" count="0" memberValueDatatype="20" unbalanced="0"/>
    <cacheHierarchy uniqueName="[HR_Analytics].[TotalWorkingYears]" caption="TotalWorkingYears" attribute="1" defaultMemberUniqueName="[HR_Analytics].[TotalWorkingYears].[All]" allUniqueName="[HR_Analytics].[TotalWorkingYears].[All]" dimensionUniqueName="[HR_Analytics]" displayFolder="" count="0" memberValueDatatype="20" unbalanced="0"/>
    <cacheHierarchy uniqueName="[HR_Analytics].[TrainingTimesLastYear]" caption="TrainingTimesLastYear" attribute="1" defaultMemberUniqueName="[HR_Analytics].[TrainingTimesLastYear].[All]" allUniqueName="[HR_Analytics].[TrainingTimesLastYear].[All]" dimensionUniqueName="[HR_Analytics]" displayFolder="" count="0" memberValueDatatype="20" unbalanced="0"/>
    <cacheHierarchy uniqueName="[HR_Analytics].[WorkLifeBalance]" caption="WorkLifeBalance" attribute="1" defaultMemberUniqueName="[HR_Analytics].[WorkLifeBalance].[All]" allUniqueName="[HR_Analytics].[WorkLifeBalance].[All]" dimensionUniqueName="[HR_Analytics]" displayFolder="" count="0" memberValueDatatype="20" unbalanced="0"/>
    <cacheHierarchy uniqueName="[HR_Analytics].[YearsAtCompany]" caption="YearsAtCompany" attribute="1" defaultMemberUniqueName="[HR_Analytics].[YearsAtCompany].[All]" allUniqueName="[HR_Analytics].[YearsAtCompany].[All]" dimensionUniqueName="[HR_Analytics]" displayFolder="" count="0" memberValueDatatype="20" unbalanced="0"/>
    <cacheHierarchy uniqueName="[HR_Analytics].[YearsInCurrentRole]" caption="YearsInCurrentRole" attribute="1" defaultMemberUniqueName="[HR_Analytics].[YearsInCurrentRole].[All]" allUniqueName="[HR_Analytics].[YearsInCurrentRole].[All]" dimensionUniqueName="[HR_Analytics]" displayFolder="" count="0" memberValueDatatype="20" unbalanced="0"/>
    <cacheHierarchy uniqueName="[HR_Analytics].[YearsSinceLastPromotion]" caption="YearsSinceLastPromotion" attribute="1" defaultMemberUniqueName="[HR_Analytics].[YearsSinceLastPromotion].[All]" allUniqueName="[HR_Analytics].[YearsSinceLastPromotion].[All]" dimensionUniqueName="[HR_Analytics]" displayFolder="" count="0" memberValueDatatype="20" unbalanced="0"/>
    <cacheHierarchy uniqueName="[HR_Analytics].[YearsWithCurrManager]" caption="YearsWithCurrManager" attribute="1" defaultMemberUniqueName="[HR_Analytics].[YearsWithCurrManager].[All]" allUniqueName="[HR_Analytics].[YearsWithCurrManager].[All]" dimensionUniqueName="[HR_Analytics]" displayFolder="" count="0" memberValueDatatype="5" unbalanced="0"/>
    <cacheHierarchy uniqueName="[Table1].[Column]" caption="Column" attribute="1" defaultMemberUniqueName="[Table1].[Column].[All]" allUniqueName="[Table1].[Column].[All]" dimensionUniqueName="[Table1]" displayFolder="" count="0" memberValueDatatype="130" unbalanced="0"/>
    <cacheHierarchy uniqueName="[Table1].[المعنى بالعربي]" caption="المعنى بالعربي" attribute="1" defaultMemberUniqueName="[Table1].[المعنى بالعربي].[All]" allUniqueName="[Table1].[المعنى بالعربي].[All]" dimensionUniqueName="[Table1]" displayFolder="" count="0" memberValueDatatype="130" unbalanced="0"/>
    <cacheHierarchy uniqueName="[Measures].[Total Employess]" caption="Total Employess" measure="1" displayFolder="" measureGroup="HR_Analytics" count="0"/>
    <cacheHierarchy uniqueName="[Measures].[Attrition Rate]" caption="Attrition Rate" measure="1" displayFolder="" measureGroup="HR_Analytics" count="0"/>
    <cacheHierarchy uniqueName="[Measures].[Overtime Rate]" caption="Overtime Rate" measure="1" displayFolder="" measureGroup="HR_Analytics" count="0" oneField="1">
      <fieldsUsage count="1">
        <fieldUsage x="0"/>
      </fieldsUsage>
    </cacheHierarchy>
    <cacheHierarchy uniqueName="[Measures].[Stasfaction Score]" caption="Stasfaction Score" measure="1" displayFolder="" measureGroup="HR_Analytics" count="0"/>
    <cacheHierarchy uniqueName="[Measures].[Monthly Income]" caption="Monthly Income" measure="1" displayFolder="" measureGroup="HR_Analytics" count="0"/>
    <cacheHierarchy uniqueName="[Measures].[Avg Age]" caption="Avg Age" measure="1" displayFolder="" measureGroup="HR_Analytics" count="0"/>
    <cacheHierarchy uniqueName="[Measures].[Avg Tenure]" caption="Avg Tenure" measure="1" displayFolder="" measureGroup="HR_Analytics" count="0"/>
    <cacheHierarchy uniqueName="[Measures].[Avg Env Sat]" caption="Avg Env Sat" measure="1" displayFolder="" measureGroup="HR_Analytics" count="0"/>
    <cacheHierarchy uniqueName="[Measures].[Avg WLB]" caption="Avg WLB" measure="1" displayFolder="" measureGroup="HR_Analytics" count="0"/>
    <cacheHierarchy uniqueName="[Measures].[__XL_Count Table1]" caption="__XL_Count Table1" measure="1" displayFolder="" measureGroup="Table1" count="0" hidden="1"/>
    <cacheHierarchy uniqueName="[Measures].[__XL_Count HR_Analytics]" caption="__XL_Count HR_Analytics" measure="1" displayFolder="" measureGroup="HR_Analytics" count="0" hidden="1"/>
    <cacheHierarchy uniqueName="[Measures].[__No measures defined]" caption="__No measures defined" measure="1" displayFolder="" count="0" hidden="1"/>
    <cacheHierarchy uniqueName="[Measures].[Sum of Age]" caption="Sum of Age" measure="1" displayFolder="" measureGroup="HR_Analytics" count="0" hidden="1">
      <extLst>
        <ext xmlns:x15="http://schemas.microsoft.com/office/spreadsheetml/2010/11/main" uri="{B97F6D7D-B522-45F9-BDA1-12C45D357490}">
          <x15:cacheHierarchy aggregatedColumn="1"/>
        </ext>
      </extLst>
    </cacheHierarchy>
    <cacheHierarchy uniqueName="[Measures].[Count of Attrition]" caption="Count of Attrition" measure="1" displayFolder="" measureGroup="HR_Analytics" count="0" hidden="1">
      <extLst>
        <ext xmlns:x15="http://schemas.microsoft.com/office/spreadsheetml/2010/11/main" uri="{B97F6D7D-B522-45F9-BDA1-12C45D357490}">
          <x15:cacheHierarchy aggregatedColumn="3"/>
        </ext>
      </extLst>
    </cacheHierarchy>
    <cacheHierarchy uniqueName="[Measures].[Count of OverTime]" caption="Count of OverTime" measure="1" displayFolder="" measureGroup="HR_Analytics" count="0" hidden="1">
      <extLst>
        <ext xmlns:x15="http://schemas.microsoft.com/office/spreadsheetml/2010/11/main" uri="{B97F6D7D-B522-45F9-BDA1-12C45D357490}">
          <x15:cacheHierarchy aggregatedColumn="25"/>
        </ext>
      </extLst>
    </cacheHierarchy>
    <cacheHierarchy uniqueName="[Measures].[Count of Department]" caption="Count of Department" measure="1" displayFolder="" measureGroup="HR_Analytics" count="0" hidden="1">
      <extLst>
        <ext xmlns:x15="http://schemas.microsoft.com/office/spreadsheetml/2010/11/main" uri="{B97F6D7D-B522-45F9-BDA1-12C45D357490}">
          <x15:cacheHierarchy aggregatedColumn="6"/>
        </ext>
      </extLst>
    </cacheHierarchy>
  </cacheHierarchies>
  <kpis count="0"/>
  <dimensions count="3">
    <dimension name="HR_Analytics" uniqueName="[HR_Analytics]" caption="HR_Analytics"/>
    <dimension measure="1" name="Measures" uniqueName="[Measures]" caption="Measures"/>
    <dimension name="Table1" uniqueName="[Table1]" caption="Table1"/>
  </dimensions>
  <measureGroups count="2">
    <measureGroup name="HR_Analytics" caption="HR_Analytics"/>
    <measureGroup name="Table1" caption="Table1"/>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323.833597569443" backgroundQuery="1" createdVersion="8" refreshedVersion="8" minRefreshableVersion="3" recordCount="0" supportSubquery="1" supportAdvancedDrill="1" xr:uid="{F182D11B-DBF0-4EB2-812B-E4F230680ECE}">
  <cacheSource type="external" connectionId="2"/>
  <cacheFields count="3">
    <cacheField name="[HR_Analytics].[JobRole].[JobRole]" caption="JobRole" numFmtId="0" hierarchy="17" level="1">
      <sharedItems count="9">
        <s v="Healthcare Representative"/>
        <s v="Human Resources"/>
        <s v="Laboratory Technician"/>
        <s v="Manager"/>
        <s v="Manufacturing Director"/>
        <s v="Research Director"/>
        <s v="Research Scientist"/>
        <s v="Sales Executive"/>
        <s v="Sales Representative"/>
      </sharedItems>
    </cacheField>
    <cacheField name="[Measures].[Overtime Rate]" caption="Overtime Rate" numFmtId="0" hierarchy="42" level="32767"/>
    <cacheField name="[HR_Analytics].[Department].[Department]" caption="Department" numFmtId="0" hierarchy="6" level="1">
      <sharedItems containsSemiMixedTypes="0" containsNonDate="0" containsString="0"/>
    </cacheField>
  </cacheFields>
  <cacheHierarchies count="56">
    <cacheHierarchy uniqueName="[HR_Analytics].[EmpID]" caption="EmpID" attribute="1" defaultMemberUniqueName="[HR_Analytics].[EmpID].[All]" allUniqueName="[HR_Analytics].[EmpID].[All]" dimensionUniqueName="[HR_Analytics]" displayFolder="" count="0" memberValueDatatype="130" unbalanced="0"/>
    <cacheHierarchy uniqueName="[HR_Analytics].[Age]" caption="Age" attribute="1" defaultMemberUniqueName="[HR_Analytics].[Age].[All]" allUniqueName="[HR_Analytics].[Age].[All]" dimensionUniqueName="[HR_Analytics]" displayFolder="" count="0" memberValueDatatype="20" unbalanced="0"/>
    <cacheHierarchy uniqueName="[HR_Analytics].[AgeGroup]" caption="AgeGroup" attribute="1" defaultMemberUniqueName="[HR_Analytics].[AgeGroup].[All]" allUniqueName="[HR_Analytics].[AgeGroup].[All]" dimensionUniqueName="[HR_Analytics]" displayFolder="" count="0" memberValueDatatype="130" unbalanced="0"/>
    <cacheHierarchy uniqueName="[HR_Analytics].[Attrition]" caption="Attrition" attribute="1" defaultMemberUniqueName="[HR_Analytics].[Attrition].[All]" allUniqueName="[HR_Analytics].[Attrition].[All]" dimensionUniqueName="[HR_Analytics]" displayFolder="" count="0" memberValueDatatype="130" unbalanced="0"/>
    <cacheHierarchy uniqueName="[HR_Analytics].[BusinessTravel]" caption="BusinessTravel" attribute="1" defaultMemberUniqueName="[HR_Analytics].[BusinessTravel].[All]" allUniqueName="[HR_Analytics].[BusinessTravel].[All]" dimensionUniqueName="[HR_Analytics]" displayFolder="" count="0" memberValueDatatype="130" unbalanced="0"/>
    <cacheHierarchy uniqueName="[HR_Analytics].[DailyRate]" caption="DailyRate" attribute="1" defaultMemberUniqueName="[HR_Analytics].[DailyRate].[All]" allUniqueName="[HR_Analytics].[DailyRate].[All]" dimensionUniqueName="[HR_Analytics]" displayFolder="" count="0" memberValueDatatype="20" unbalanced="0"/>
    <cacheHierarchy uniqueName="[HR_Analytics].[Department]" caption="Department" attribute="1" defaultMemberUniqueName="[HR_Analytics].[Department].[All]" allUniqueName="[HR_Analytics].[Department].[All]" dimensionUniqueName="[HR_Analytics]" displayFolder="" count="2" memberValueDatatype="130" unbalanced="0">
      <fieldsUsage count="2">
        <fieldUsage x="-1"/>
        <fieldUsage x="2"/>
      </fieldsUsage>
    </cacheHierarchy>
    <cacheHierarchy uniqueName="[HR_Analytics].[DistanceFromHome]" caption="DistanceFromHome" attribute="1" defaultMemberUniqueName="[HR_Analytics].[DistanceFromHome].[All]" allUniqueName="[HR_Analytics].[DistanceFromHome].[All]" dimensionUniqueName="[HR_Analytics]" displayFolder="" count="0" memberValueDatatype="20" unbalanced="0"/>
    <cacheHierarchy uniqueName="[HR_Analytics].[Education]" caption="Education" attribute="1" defaultMemberUniqueName="[HR_Analytics].[Education].[All]" allUniqueName="[HR_Analytics].[Education].[All]" dimensionUniqueName="[HR_Analytics]" displayFolder="" count="0" memberValueDatatype="20" unbalanced="0"/>
    <cacheHierarchy uniqueName="[HR_Analytics].[EducationField]" caption="EducationField" attribute="1" defaultMemberUniqueName="[HR_Analytics].[EducationField].[All]" allUniqueName="[HR_Analytics].[EducationField].[All]" dimensionUniqueName="[HR_Analytics]" displayFolder="" count="0" memberValueDatatype="130" unbalanced="0"/>
    <cacheHierarchy uniqueName="[HR_Analytics].[EmployeeCount]" caption="EmployeeCount" attribute="1" defaultMemberUniqueName="[HR_Analytics].[EmployeeCount].[All]" allUniqueName="[HR_Analytics].[EmployeeCount].[All]" dimensionUniqueName="[HR_Analytics]" displayFolder="" count="0" memberValueDatatype="20" unbalanced="0"/>
    <cacheHierarchy uniqueName="[HR_Analytics].[EmployeeNumber]" caption="EmployeeNumber" attribute="1" defaultMemberUniqueName="[HR_Analytics].[EmployeeNumber].[All]" allUniqueName="[HR_Analytics].[EmployeeNumber].[All]" dimensionUniqueName="[HR_Analytics]" displayFolder="" count="0" memberValueDatatype="20" unbalanced="0"/>
    <cacheHierarchy uniqueName="[HR_Analytics].[EnvironmentSatisfaction]" caption="EnvironmentSatisfaction" attribute="1" defaultMemberUniqueName="[HR_Analytics].[EnvironmentSatisfaction].[All]" allUniqueName="[HR_Analytics].[EnvironmentSatisfaction].[All]" dimensionUniqueName="[HR_Analytics]" displayFolder="" count="0" memberValueDatatype="20" unbalanced="0"/>
    <cacheHierarchy uniqueName="[HR_Analytics].[Gender]" caption="Gender" attribute="1" defaultMemberUniqueName="[HR_Analytics].[Gender].[All]" allUniqueName="[HR_Analytics].[Gender].[All]" dimensionUniqueName="[HR_Analytics]" displayFolder="" count="0" memberValueDatatype="130" unbalanced="0"/>
    <cacheHierarchy uniqueName="[HR_Analytics].[HourlyRate]" caption="HourlyRate" attribute="1" defaultMemberUniqueName="[HR_Analytics].[HourlyRate].[All]" allUniqueName="[HR_Analytics].[HourlyRate].[All]" dimensionUniqueName="[HR_Analytics]" displayFolder="" count="0" memberValueDatatype="20" unbalanced="0"/>
    <cacheHierarchy uniqueName="[HR_Analytics].[JobInvolvement]" caption="JobInvolvement" attribute="1" defaultMemberUniqueName="[HR_Analytics].[JobInvolvement].[All]" allUniqueName="[HR_Analytics].[JobInvolvement].[All]" dimensionUniqueName="[HR_Analytics]" displayFolder="" count="0" memberValueDatatype="20" unbalanced="0"/>
    <cacheHierarchy uniqueName="[HR_Analytics].[JobLevel]" caption="JobLevel" attribute="1" defaultMemberUniqueName="[HR_Analytics].[JobLevel].[All]" allUniqueName="[HR_Analytics].[JobLevel].[All]" dimensionUniqueName="[HR_Analytics]" displayFolder="" count="0" memberValueDatatype="20" unbalanced="0"/>
    <cacheHierarchy uniqueName="[HR_Analytics].[JobRole]" caption="JobRole" attribute="1" defaultMemberUniqueName="[HR_Analytics].[JobRole].[All]" allUniqueName="[HR_Analytics].[JobRole].[All]" dimensionUniqueName="[HR_Analytics]" displayFolder="" count="2" memberValueDatatype="130" unbalanced="0">
      <fieldsUsage count="2">
        <fieldUsage x="-1"/>
        <fieldUsage x="0"/>
      </fieldsUsage>
    </cacheHierarchy>
    <cacheHierarchy uniqueName="[HR_Analytics].[JobSatisfaction]" caption="JobSatisfaction" attribute="1" defaultMemberUniqueName="[HR_Analytics].[JobSatisfaction].[All]" allUniqueName="[HR_Analytics].[JobSatisfaction].[All]" dimensionUniqueName="[HR_Analytics]" displayFolder="" count="0" memberValueDatatype="20" unbalanced="0"/>
    <cacheHierarchy uniqueName="[HR_Analytics].[MaritalStatus]" caption="MaritalStatus" attribute="1" defaultMemberUniqueName="[HR_Analytics].[MaritalStatus].[All]" allUniqueName="[HR_Analytics].[MaritalStatus].[All]" dimensionUniqueName="[HR_Analytics]" displayFolder="" count="0" memberValueDatatype="130" unbalanced="0"/>
    <cacheHierarchy uniqueName="[HR_Analytics].[MonthlyIncome]" caption="MonthlyIncome" attribute="1" defaultMemberUniqueName="[HR_Analytics].[MonthlyIncome].[All]" allUniqueName="[HR_Analytics].[MonthlyIncome].[All]" dimensionUniqueName="[HR_Analytics]" displayFolder="" count="0" memberValueDatatype="20" unbalanced="0"/>
    <cacheHierarchy uniqueName="[HR_Analytics].[SalarySlab]" caption="SalarySlab" attribute="1" defaultMemberUniqueName="[HR_Analytics].[SalarySlab].[All]" allUniqueName="[HR_Analytics].[SalarySlab].[All]" dimensionUniqueName="[HR_Analytics]" displayFolder="" count="2" memberValueDatatype="130" unbalanced="0"/>
    <cacheHierarchy uniqueName="[HR_Analytics].[MonthlyRate]" caption="MonthlyRate" attribute="1" defaultMemberUniqueName="[HR_Analytics].[MonthlyRate].[All]" allUniqueName="[HR_Analytics].[MonthlyRate].[All]" dimensionUniqueName="[HR_Analytics]" displayFolder="" count="0" memberValueDatatype="20" unbalanced="0"/>
    <cacheHierarchy uniqueName="[HR_Analytics].[NumCompaniesWorked]" caption="NumCompaniesWorked" attribute="1" defaultMemberUniqueName="[HR_Analytics].[NumCompaniesWorked].[All]" allUniqueName="[HR_Analytics].[NumCompaniesWorked].[All]" dimensionUniqueName="[HR_Analytics]" displayFolder="" count="0" memberValueDatatype="20" unbalanced="0"/>
    <cacheHierarchy uniqueName="[HR_Analytics].[Over18]" caption="Over18" attribute="1" defaultMemberUniqueName="[HR_Analytics].[Over18].[All]" allUniqueName="[HR_Analytics].[Over18].[All]" dimensionUniqueName="[HR_Analytics]" displayFolder="" count="0" memberValueDatatype="130" unbalanced="0"/>
    <cacheHierarchy uniqueName="[HR_Analytics].[OverTime]" caption="OverTime" attribute="1" defaultMemberUniqueName="[HR_Analytics].[OverTime].[All]" allUniqueName="[HR_Analytics].[OverTime].[All]" dimensionUniqueName="[HR_Analytics]" displayFolder="" count="0" memberValueDatatype="130" unbalanced="0"/>
    <cacheHierarchy uniqueName="[HR_Analytics].[PercentSalaryHike]" caption="PercentSalaryHike" attribute="1" defaultMemberUniqueName="[HR_Analytics].[PercentSalaryHike].[All]" allUniqueName="[HR_Analytics].[PercentSalaryHike].[All]" dimensionUniqueName="[HR_Analytics]" displayFolder="" count="0" memberValueDatatype="20" unbalanced="0"/>
    <cacheHierarchy uniqueName="[HR_Analytics].[PerformanceRating]" caption="PerformanceRating" attribute="1" defaultMemberUniqueName="[HR_Analytics].[PerformanceRating].[All]" allUniqueName="[HR_Analytics].[PerformanceRating].[All]" dimensionUniqueName="[HR_Analytics]" displayFolder="" count="0" memberValueDatatype="20" unbalanced="0"/>
    <cacheHierarchy uniqueName="[HR_Analytics].[RelationshipSatisfaction]" caption="RelationshipSatisfaction" attribute="1" defaultMemberUniqueName="[HR_Analytics].[RelationshipSatisfaction].[All]" allUniqueName="[HR_Analytics].[RelationshipSatisfaction].[All]" dimensionUniqueName="[HR_Analytics]" displayFolder="" count="0" memberValueDatatype="20" unbalanced="0"/>
    <cacheHierarchy uniqueName="[HR_Analytics].[StandardHours]" caption="StandardHours" attribute="1" defaultMemberUniqueName="[HR_Analytics].[StandardHours].[All]" allUniqueName="[HR_Analytics].[StandardHours].[All]" dimensionUniqueName="[HR_Analytics]" displayFolder="" count="0" memberValueDatatype="20" unbalanced="0"/>
    <cacheHierarchy uniqueName="[HR_Analytics].[StockOptionLevel]" caption="StockOptionLevel" attribute="1" defaultMemberUniqueName="[HR_Analytics].[StockOptionLevel].[All]" allUniqueName="[HR_Analytics].[StockOptionLevel].[All]" dimensionUniqueName="[HR_Analytics]" displayFolder="" count="0" memberValueDatatype="20" unbalanced="0"/>
    <cacheHierarchy uniqueName="[HR_Analytics].[TotalWorkingYears]" caption="TotalWorkingYears" attribute="1" defaultMemberUniqueName="[HR_Analytics].[TotalWorkingYears].[All]" allUniqueName="[HR_Analytics].[TotalWorkingYears].[All]" dimensionUniqueName="[HR_Analytics]" displayFolder="" count="0" memberValueDatatype="20" unbalanced="0"/>
    <cacheHierarchy uniqueName="[HR_Analytics].[TrainingTimesLastYear]" caption="TrainingTimesLastYear" attribute="1" defaultMemberUniqueName="[HR_Analytics].[TrainingTimesLastYear].[All]" allUniqueName="[HR_Analytics].[TrainingTimesLastYear].[All]" dimensionUniqueName="[HR_Analytics]" displayFolder="" count="0" memberValueDatatype="20" unbalanced="0"/>
    <cacheHierarchy uniqueName="[HR_Analytics].[WorkLifeBalance]" caption="WorkLifeBalance" attribute="1" defaultMemberUniqueName="[HR_Analytics].[WorkLifeBalance].[All]" allUniqueName="[HR_Analytics].[WorkLifeBalance].[All]" dimensionUniqueName="[HR_Analytics]" displayFolder="" count="0" memberValueDatatype="20" unbalanced="0"/>
    <cacheHierarchy uniqueName="[HR_Analytics].[YearsAtCompany]" caption="YearsAtCompany" attribute="1" defaultMemberUniqueName="[HR_Analytics].[YearsAtCompany].[All]" allUniqueName="[HR_Analytics].[YearsAtCompany].[All]" dimensionUniqueName="[HR_Analytics]" displayFolder="" count="0" memberValueDatatype="20" unbalanced="0"/>
    <cacheHierarchy uniqueName="[HR_Analytics].[YearsInCurrentRole]" caption="YearsInCurrentRole" attribute="1" defaultMemberUniqueName="[HR_Analytics].[YearsInCurrentRole].[All]" allUniqueName="[HR_Analytics].[YearsInCurrentRole].[All]" dimensionUniqueName="[HR_Analytics]" displayFolder="" count="0" memberValueDatatype="20" unbalanced="0"/>
    <cacheHierarchy uniqueName="[HR_Analytics].[YearsSinceLastPromotion]" caption="YearsSinceLastPromotion" attribute="1" defaultMemberUniqueName="[HR_Analytics].[YearsSinceLastPromotion].[All]" allUniqueName="[HR_Analytics].[YearsSinceLastPromotion].[All]" dimensionUniqueName="[HR_Analytics]" displayFolder="" count="0" memberValueDatatype="20" unbalanced="0"/>
    <cacheHierarchy uniqueName="[HR_Analytics].[YearsWithCurrManager]" caption="YearsWithCurrManager" attribute="1" defaultMemberUniqueName="[HR_Analytics].[YearsWithCurrManager].[All]" allUniqueName="[HR_Analytics].[YearsWithCurrManager].[All]" dimensionUniqueName="[HR_Analytics]" displayFolder="" count="0" memberValueDatatype="5" unbalanced="0"/>
    <cacheHierarchy uniqueName="[Table1].[Column]" caption="Column" attribute="1" defaultMemberUniqueName="[Table1].[Column].[All]" allUniqueName="[Table1].[Column].[All]" dimensionUniqueName="[Table1]" displayFolder="" count="0" memberValueDatatype="130" unbalanced="0"/>
    <cacheHierarchy uniqueName="[Table1].[المعنى بالعربي]" caption="المعنى بالعربي" attribute="1" defaultMemberUniqueName="[Table1].[المعنى بالعربي].[All]" allUniqueName="[Table1].[المعنى بالعربي].[All]" dimensionUniqueName="[Table1]" displayFolder="" count="0" memberValueDatatype="130" unbalanced="0"/>
    <cacheHierarchy uniqueName="[Measures].[Total Employess]" caption="Total Employess" measure="1" displayFolder="" measureGroup="HR_Analytics" count="0"/>
    <cacheHierarchy uniqueName="[Measures].[Attrition Rate]" caption="Attrition Rate" measure="1" displayFolder="" measureGroup="HR_Analytics" count="0"/>
    <cacheHierarchy uniqueName="[Measures].[Overtime Rate]" caption="Overtime Rate" measure="1" displayFolder="" measureGroup="HR_Analytics" count="0" oneField="1">
      <fieldsUsage count="1">
        <fieldUsage x="1"/>
      </fieldsUsage>
    </cacheHierarchy>
    <cacheHierarchy uniqueName="[Measures].[Stasfaction Score]" caption="Stasfaction Score" measure="1" displayFolder="" measureGroup="HR_Analytics" count="0"/>
    <cacheHierarchy uniqueName="[Measures].[Monthly Income]" caption="Monthly Income" measure="1" displayFolder="" measureGroup="HR_Analytics" count="0"/>
    <cacheHierarchy uniqueName="[Measures].[Avg Age]" caption="Avg Age" measure="1" displayFolder="" measureGroup="HR_Analytics" count="0"/>
    <cacheHierarchy uniqueName="[Measures].[Avg Tenure]" caption="Avg Tenure" measure="1" displayFolder="" measureGroup="HR_Analytics" count="0"/>
    <cacheHierarchy uniqueName="[Measures].[Avg Env Sat]" caption="Avg Env Sat" measure="1" displayFolder="" measureGroup="HR_Analytics" count="0"/>
    <cacheHierarchy uniqueName="[Measures].[Avg WLB]" caption="Avg WLB" measure="1" displayFolder="" measureGroup="HR_Analytics" count="0"/>
    <cacheHierarchy uniqueName="[Measures].[__XL_Count Table1]" caption="__XL_Count Table1" measure="1" displayFolder="" measureGroup="Table1" count="0" hidden="1"/>
    <cacheHierarchy uniqueName="[Measures].[__XL_Count HR_Analytics]" caption="__XL_Count HR_Analytics" measure="1" displayFolder="" measureGroup="HR_Analytics" count="0" hidden="1"/>
    <cacheHierarchy uniqueName="[Measures].[__No measures defined]" caption="__No measures defined" measure="1" displayFolder="" count="0" hidden="1"/>
    <cacheHierarchy uniqueName="[Measures].[Sum of Age]" caption="Sum of Age" measure="1" displayFolder="" measureGroup="HR_Analytics" count="0" hidden="1">
      <extLst>
        <ext xmlns:x15="http://schemas.microsoft.com/office/spreadsheetml/2010/11/main" uri="{B97F6D7D-B522-45F9-BDA1-12C45D357490}">
          <x15:cacheHierarchy aggregatedColumn="1"/>
        </ext>
      </extLst>
    </cacheHierarchy>
    <cacheHierarchy uniqueName="[Measures].[Count of Attrition]" caption="Count of Attrition" measure="1" displayFolder="" measureGroup="HR_Analytics" count="0" hidden="1">
      <extLst>
        <ext xmlns:x15="http://schemas.microsoft.com/office/spreadsheetml/2010/11/main" uri="{B97F6D7D-B522-45F9-BDA1-12C45D357490}">
          <x15:cacheHierarchy aggregatedColumn="3"/>
        </ext>
      </extLst>
    </cacheHierarchy>
    <cacheHierarchy uniqueName="[Measures].[Count of OverTime]" caption="Count of OverTime" measure="1" displayFolder="" measureGroup="HR_Analytics" count="0" hidden="1">
      <extLst>
        <ext xmlns:x15="http://schemas.microsoft.com/office/spreadsheetml/2010/11/main" uri="{B97F6D7D-B522-45F9-BDA1-12C45D357490}">
          <x15:cacheHierarchy aggregatedColumn="25"/>
        </ext>
      </extLst>
    </cacheHierarchy>
    <cacheHierarchy uniqueName="[Measures].[Count of Department]" caption="Count of Department" measure="1" displayFolder="" measureGroup="HR_Analytics" count="0" hidden="1">
      <extLst>
        <ext xmlns:x15="http://schemas.microsoft.com/office/spreadsheetml/2010/11/main" uri="{B97F6D7D-B522-45F9-BDA1-12C45D357490}">
          <x15:cacheHierarchy aggregatedColumn="6"/>
        </ext>
      </extLst>
    </cacheHierarchy>
  </cacheHierarchies>
  <kpis count="0"/>
  <dimensions count="3">
    <dimension name="HR_Analytics" uniqueName="[HR_Analytics]" caption="HR_Analytics"/>
    <dimension measure="1" name="Measures" uniqueName="[Measures]" caption="Measures"/>
    <dimension name="Table1" uniqueName="[Table1]" caption="Table1"/>
  </dimensions>
  <measureGroups count="2">
    <measureGroup name="HR_Analytics" caption="HR_Analytics"/>
    <measureGroup name="Table1" caption="Table1"/>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323.833597800927" backgroundQuery="1" createdVersion="8" refreshedVersion="8" minRefreshableVersion="3" recordCount="0" supportSubquery="1" supportAdvancedDrill="1" xr:uid="{CDFF2A08-0CDD-43A4-8F14-A6A1DBEFF8E4}">
  <cacheSource type="external" connectionId="2"/>
  <cacheFields count="2">
    <cacheField name="[Measures].[Stasfaction Score]" caption="Stasfaction Score" numFmtId="0" hierarchy="43" level="32767"/>
    <cacheField name="[HR_Analytics].[Department].[Department]" caption="Department" numFmtId="0" hierarchy="6" level="1">
      <sharedItems containsSemiMixedTypes="0" containsNonDate="0" containsString="0"/>
    </cacheField>
  </cacheFields>
  <cacheHierarchies count="56">
    <cacheHierarchy uniqueName="[HR_Analytics].[EmpID]" caption="EmpID" attribute="1" defaultMemberUniqueName="[HR_Analytics].[EmpID].[All]" allUniqueName="[HR_Analytics].[EmpID].[All]" dimensionUniqueName="[HR_Analytics]" displayFolder="" count="0" memberValueDatatype="130" unbalanced="0"/>
    <cacheHierarchy uniqueName="[HR_Analytics].[Age]" caption="Age" attribute="1" defaultMemberUniqueName="[HR_Analytics].[Age].[All]" allUniqueName="[HR_Analytics].[Age].[All]" dimensionUniqueName="[HR_Analytics]" displayFolder="" count="0" memberValueDatatype="20" unbalanced="0"/>
    <cacheHierarchy uniqueName="[HR_Analytics].[AgeGroup]" caption="AgeGroup" attribute="1" defaultMemberUniqueName="[HR_Analytics].[AgeGroup].[All]" allUniqueName="[HR_Analytics].[AgeGroup].[All]" dimensionUniqueName="[HR_Analytics]" displayFolder="" count="0" memberValueDatatype="130" unbalanced="0"/>
    <cacheHierarchy uniqueName="[HR_Analytics].[Attrition]" caption="Attrition" attribute="1" defaultMemberUniqueName="[HR_Analytics].[Attrition].[All]" allUniqueName="[HR_Analytics].[Attrition].[All]" dimensionUniqueName="[HR_Analytics]" displayFolder="" count="0" memberValueDatatype="130" unbalanced="0"/>
    <cacheHierarchy uniqueName="[HR_Analytics].[BusinessTravel]" caption="BusinessTravel" attribute="1" defaultMemberUniqueName="[HR_Analytics].[BusinessTravel].[All]" allUniqueName="[HR_Analytics].[BusinessTravel].[All]" dimensionUniqueName="[HR_Analytics]" displayFolder="" count="0" memberValueDatatype="130" unbalanced="0"/>
    <cacheHierarchy uniqueName="[HR_Analytics].[DailyRate]" caption="DailyRate" attribute="1" defaultMemberUniqueName="[HR_Analytics].[DailyRate].[All]" allUniqueName="[HR_Analytics].[DailyRate].[All]" dimensionUniqueName="[HR_Analytics]" displayFolder="" count="0" memberValueDatatype="20" unbalanced="0"/>
    <cacheHierarchy uniqueName="[HR_Analytics].[Department]" caption="Department" attribute="1" defaultMemberUniqueName="[HR_Analytics].[Department].[All]" allUniqueName="[HR_Analytics].[Department].[All]" dimensionUniqueName="[HR_Analytics]" displayFolder="" count="2" memberValueDatatype="130" unbalanced="0">
      <fieldsUsage count="2">
        <fieldUsage x="-1"/>
        <fieldUsage x="1"/>
      </fieldsUsage>
    </cacheHierarchy>
    <cacheHierarchy uniqueName="[HR_Analytics].[DistanceFromHome]" caption="DistanceFromHome" attribute="1" defaultMemberUniqueName="[HR_Analytics].[DistanceFromHome].[All]" allUniqueName="[HR_Analytics].[DistanceFromHome].[All]" dimensionUniqueName="[HR_Analytics]" displayFolder="" count="0" memberValueDatatype="20" unbalanced="0"/>
    <cacheHierarchy uniqueName="[HR_Analytics].[Education]" caption="Education" attribute="1" defaultMemberUniqueName="[HR_Analytics].[Education].[All]" allUniqueName="[HR_Analytics].[Education].[All]" dimensionUniqueName="[HR_Analytics]" displayFolder="" count="0" memberValueDatatype="20" unbalanced="0"/>
    <cacheHierarchy uniqueName="[HR_Analytics].[EducationField]" caption="EducationField" attribute="1" defaultMemberUniqueName="[HR_Analytics].[EducationField].[All]" allUniqueName="[HR_Analytics].[EducationField].[All]" dimensionUniqueName="[HR_Analytics]" displayFolder="" count="0" memberValueDatatype="130" unbalanced="0"/>
    <cacheHierarchy uniqueName="[HR_Analytics].[EmployeeCount]" caption="EmployeeCount" attribute="1" defaultMemberUniqueName="[HR_Analytics].[EmployeeCount].[All]" allUniqueName="[HR_Analytics].[EmployeeCount].[All]" dimensionUniqueName="[HR_Analytics]" displayFolder="" count="0" memberValueDatatype="20" unbalanced="0"/>
    <cacheHierarchy uniqueName="[HR_Analytics].[EmployeeNumber]" caption="EmployeeNumber" attribute="1" defaultMemberUniqueName="[HR_Analytics].[EmployeeNumber].[All]" allUniqueName="[HR_Analytics].[EmployeeNumber].[All]" dimensionUniqueName="[HR_Analytics]" displayFolder="" count="0" memberValueDatatype="20" unbalanced="0"/>
    <cacheHierarchy uniqueName="[HR_Analytics].[EnvironmentSatisfaction]" caption="EnvironmentSatisfaction" attribute="1" defaultMemberUniqueName="[HR_Analytics].[EnvironmentSatisfaction].[All]" allUniqueName="[HR_Analytics].[EnvironmentSatisfaction].[All]" dimensionUniqueName="[HR_Analytics]" displayFolder="" count="0" memberValueDatatype="20" unbalanced="0"/>
    <cacheHierarchy uniqueName="[HR_Analytics].[Gender]" caption="Gender" attribute="1" defaultMemberUniqueName="[HR_Analytics].[Gender].[All]" allUniqueName="[HR_Analytics].[Gender].[All]" dimensionUniqueName="[HR_Analytics]" displayFolder="" count="0" memberValueDatatype="130" unbalanced="0"/>
    <cacheHierarchy uniqueName="[HR_Analytics].[HourlyRate]" caption="HourlyRate" attribute="1" defaultMemberUniqueName="[HR_Analytics].[HourlyRate].[All]" allUniqueName="[HR_Analytics].[HourlyRate].[All]" dimensionUniqueName="[HR_Analytics]" displayFolder="" count="0" memberValueDatatype="20" unbalanced="0"/>
    <cacheHierarchy uniqueName="[HR_Analytics].[JobInvolvement]" caption="JobInvolvement" attribute="1" defaultMemberUniqueName="[HR_Analytics].[JobInvolvement].[All]" allUniqueName="[HR_Analytics].[JobInvolvement].[All]" dimensionUniqueName="[HR_Analytics]" displayFolder="" count="0" memberValueDatatype="20" unbalanced="0"/>
    <cacheHierarchy uniqueName="[HR_Analytics].[JobLevel]" caption="JobLevel" attribute="1" defaultMemberUniqueName="[HR_Analytics].[JobLevel].[All]" allUniqueName="[HR_Analytics].[JobLevel].[All]" dimensionUniqueName="[HR_Analytics]" displayFolder="" count="0" memberValueDatatype="20" unbalanced="0"/>
    <cacheHierarchy uniqueName="[HR_Analytics].[JobRole]" caption="JobRole" attribute="1" defaultMemberUniqueName="[HR_Analytics].[JobRole].[All]" allUniqueName="[HR_Analytics].[JobRole].[All]" dimensionUniqueName="[HR_Analytics]" displayFolder="" count="0" memberValueDatatype="130" unbalanced="0"/>
    <cacheHierarchy uniqueName="[HR_Analytics].[JobSatisfaction]" caption="JobSatisfaction" attribute="1" defaultMemberUniqueName="[HR_Analytics].[JobSatisfaction].[All]" allUniqueName="[HR_Analytics].[JobSatisfaction].[All]" dimensionUniqueName="[HR_Analytics]" displayFolder="" count="0" memberValueDatatype="20" unbalanced="0"/>
    <cacheHierarchy uniqueName="[HR_Analytics].[MaritalStatus]" caption="MaritalStatus" attribute="1" defaultMemberUniqueName="[HR_Analytics].[MaritalStatus].[All]" allUniqueName="[HR_Analytics].[MaritalStatus].[All]" dimensionUniqueName="[HR_Analytics]" displayFolder="" count="0" memberValueDatatype="130" unbalanced="0"/>
    <cacheHierarchy uniqueName="[HR_Analytics].[MonthlyIncome]" caption="MonthlyIncome" attribute="1" defaultMemberUniqueName="[HR_Analytics].[MonthlyIncome].[All]" allUniqueName="[HR_Analytics].[MonthlyIncome].[All]" dimensionUniqueName="[HR_Analytics]" displayFolder="" count="0" memberValueDatatype="20" unbalanced="0"/>
    <cacheHierarchy uniqueName="[HR_Analytics].[SalarySlab]" caption="SalarySlab" attribute="1" defaultMemberUniqueName="[HR_Analytics].[SalarySlab].[All]" allUniqueName="[HR_Analytics].[SalarySlab].[All]" dimensionUniqueName="[HR_Analytics]" displayFolder="" count="2" memberValueDatatype="130" unbalanced="0"/>
    <cacheHierarchy uniqueName="[HR_Analytics].[MonthlyRate]" caption="MonthlyRate" attribute="1" defaultMemberUniqueName="[HR_Analytics].[MonthlyRate].[All]" allUniqueName="[HR_Analytics].[MonthlyRate].[All]" dimensionUniqueName="[HR_Analytics]" displayFolder="" count="0" memberValueDatatype="20" unbalanced="0"/>
    <cacheHierarchy uniqueName="[HR_Analytics].[NumCompaniesWorked]" caption="NumCompaniesWorked" attribute="1" defaultMemberUniqueName="[HR_Analytics].[NumCompaniesWorked].[All]" allUniqueName="[HR_Analytics].[NumCompaniesWorked].[All]" dimensionUniqueName="[HR_Analytics]" displayFolder="" count="0" memberValueDatatype="20" unbalanced="0"/>
    <cacheHierarchy uniqueName="[HR_Analytics].[Over18]" caption="Over18" attribute="1" defaultMemberUniqueName="[HR_Analytics].[Over18].[All]" allUniqueName="[HR_Analytics].[Over18].[All]" dimensionUniqueName="[HR_Analytics]" displayFolder="" count="0" memberValueDatatype="130" unbalanced="0"/>
    <cacheHierarchy uniqueName="[HR_Analytics].[OverTime]" caption="OverTime" attribute="1" defaultMemberUniqueName="[HR_Analytics].[OverTime].[All]" allUniqueName="[HR_Analytics].[OverTime].[All]" dimensionUniqueName="[HR_Analytics]" displayFolder="" count="0" memberValueDatatype="130" unbalanced="0"/>
    <cacheHierarchy uniqueName="[HR_Analytics].[PercentSalaryHike]" caption="PercentSalaryHike" attribute="1" defaultMemberUniqueName="[HR_Analytics].[PercentSalaryHike].[All]" allUniqueName="[HR_Analytics].[PercentSalaryHike].[All]" dimensionUniqueName="[HR_Analytics]" displayFolder="" count="0" memberValueDatatype="20" unbalanced="0"/>
    <cacheHierarchy uniqueName="[HR_Analytics].[PerformanceRating]" caption="PerformanceRating" attribute="1" defaultMemberUniqueName="[HR_Analytics].[PerformanceRating].[All]" allUniqueName="[HR_Analytics].[PerformanceRating].[All]" dimensionUniqueName="[HR_Analytics]" displayFolder="" count="0" memberValueDatatype="20" unbalanced="0"/>
    <cacheHierarchy uniqueName="[HR_Analytics].[RelationshipSatisfaction]" caption="RelationshipSatisfaction" attribute="1" defaultMemberUniqueName="[HR_Analytics].[RelationshipSatisfaction].[All]" allUniqueName="[HR_Analytics].[RelationshipSatisfaction].[All]" dimensionUniqueName="[HR_Analytics]" displayFolder="" count="0" memberValueDatatype="20" unbalanced="0"/>
    <cacheHierarchy uniqueName="[HR_Analytics].[StandardHours]" caption="StandardHours" attribute="1" defaultMemberUniqueName="[HR_Analytics].[StandardHours].[All]" allUniqueName="[HR_Analytics].[StandardHours].[All]" dimensionUniqueName="[HR_Analytics]" displayFolder="" count="0" memberValueDatatype="20" unbalanced="0"/>
    <cacheHierarchy uniqueName="[HR_Analytics].[StockOptionLevel]" caption="StockOptionLevel" attribute="1" defaultMemberUniqueName="[HR_Analytics].[StockOptionLevel].[All]" allUniqueName="[HR_Analytics].[StockOptionLevel].[All]" dimensionUniqueName="[HR_Analytics]" displayFolder="" count="0" memberValueDatatype="20" unbalanced="0"/>
    <cacheHierarchy uniqueName="[HR_Analytics].[TotalWorkingYears]" caption="TotalWorkingYears" attribute="1" defaultMemberUniqueName="[HR_Analytics].[TotalWorkingYears].[All]" allUniqueName="[HR_Analytics].[TotalWorkingYears].[All]" dimensionUniqueName="[HR_Analytics]" displayFolder="" count="0" memberValueDatatype="20" unbalanced="0"/>
    <cacheHierarchy uniqueName="[HR_Analytics].[TrainingTimesLastYear]" caption="TrainingTimesLastYear" attribute="1" defaultMemberUniqueName="[HR_Analytics].[TrainingTimesLastYear].[All]" allUniqueName="[HR_Analytics].[TrainingTimesLastYear].[All]" dimensionUniqueName="[HR_Analytics]" displayFolder="" count="0" memberValueDatatype="20" unbalanced="0"/>
    <cacheHierarchy uniqueName="[HR_Analytics].[WorkLifeBalance]" caption="WorkLifeBalance" attribute="1" defaultMemberUniqueName="[HR_Analytics].[WorkLifeBalance].[All]" allUniqueName="[HR_Analytics].[WorkLifeBalance].[All]" dimensionUniqueName="[HR_Analytics]" displayFolder="" count="0" memberValueDatatype="20" unbalanced="0"/>
    <cacheHierarchy uniqueName="[HR_Analytics].[YearsAtCompany]" caption="YearsAtCompany" attribute="1" defaultMemberUniqueName="[HR_Analytics].[YearsAtCompany].[All]" allUniqueName="[HR_Analytics].[YearsAtCompany].[All]" dimensionUniqueName="[HR_Analytics]" displayFolder="" count="0" memberValueDatatype="20" unbalanced="0"/>
    <cacheHierarchy uniqueName="[HR_Analytics].[YearsInCurrentRole]" caption="YearsInCurrentRole" attribute="1" defaultMemberUniqueName="[HR_Analytics].[YearsInCurrentRole].[All]" allUniqueName="[HR_Analytics].[YearsInCurrentRole].[All]" dimensionUniqueName="[HR_Analytics]" displayFolder="" count="0" memberValueDatatype="20" unbalanced="0"/>
    <cacheHierarchy uniqueName="[HR_Analytics].[YearsSinceLastPromotion]" caption="YearsSinceLastPromotion" attribute="1" defaultMemberUniqueName="[HR_Analytics].[YearsSinceLastPromotion].[All]" allUniqueName="[HR_Analytics].[YearsSinceLastPromotion].[All]" dimensionUniqueName="[HR_Analytics]" displayFolder="" count="0" memberValueDatatype="20" unbalanced="0"/>
    <cacheHierarchy uniqueName="[HR_Analytics].[YearsWithCurrManager]" caption="YearsWithCurrManager" attribute="1" defaultMemberUniqueName="[HR_Analytics].[YearsWithCurrManager].[All]" allUniqueName="[HR_Analytics].[YearsWithCurrManager].[All]" dimensionUniqueName="[HR_Analytics]" displayFolder="" count="0" memberValueDatatype="5" unbalanced="0"/>
    <cacheHierarchy uniqueName="[Table1].[Column]" caption="Column" attribute="1" defaultMemberUniqueName="[Table1].[Column].[All]" allUniqueName="[Table1].[Column].[All]" dimensionUniqueName="[Table1]" displayFolder="" count="0" memberValueDatatype="130" unbalanced="0"/>
    <cacheHierarchy uniqueName="[Table1].[المعنى بالعربي]" caption="المعنى بالعربي" attribute="1" defaultMemberUniqueName="[Table1].[المعنى بالعربي].[All]" allUniqueName="[Table1].[المعنى بالعربي].[All]" dimensionUniqueName="[Table1]" displayFolder="" count="0" memberValueDatatype="130" unbalanced="0"/>
    <cacheHierarchy uniqueName="[Measures].[Total Employess]" caption="Total Employess" measure="1" displayFolder="" measureGroup="HR_Analytics" count="0"/>
    <cacheHierarchy uniqueName="[Measures].[Attrition Rate]" caption="Attrition Rate" measure="1" displayFolder="" measureGroup="HR_Analytics" count="0"/>
    <cacheHierarchy uniqueName="[Measures].[Overtime Rate]" caption="Overtime Rate" measure="1" displayFolder="" measureGroup="HR_Analytics" count="0"/>
    <cacheHierarchy uniqueName="[Measures].[Stasfaction Score]" caption="Stasfaction Score" measure="1" displayFolder="" measureGroup="HR_Analytics" count="0" oneField="1">
      <fieldsUsage count="1">
        <fieldUsage x="0"/>
      </fieldsUsage>
    </cacheHierarchy>
    <cacheHierarchy uniqueName="[Measures].[Monthly Income]" caption="Monthly Income" measure="1" displayFolder="" measureGroup="HR_Analytics" count="0"/>
    <cacheHierarchy uniqueName="[Measures].[Avg Age]" caption="Avg Age" measure="1" displayFolder="" measureGroup="HR_Analytics" count="0"/>
    <cacheHierarchy uniqueName="[Measures].[Avg Tenure]" caption="Avg Tenure" measure="1" displayFolder="" measureGroup="HR_Analytics" count="0"/>
    <cacheHierarchy uniqueName="[Measures].[Avg Env Sat]" caption="Avg Env Sat" measure="1" displayFolder="" measureGroup="HR_Analytics" count="0"/>
    <cacheHierarchy uniqueName="[Measures].[Avg WLB]" caption="Avg WLB" measure="1" displayFolder="" measureGroup="HR_Analytics" count="0"/>
    <cacheHierarchy uniqueName="[Measures].[__XL_Count Table1]" caption="__XL_Count Table1" measure="1" displayFolder="" measureGroup="Table1" count="0" hidden="1"/>
    <cacheHierarchy uniqueName="[Measures].[__XL_Count HR_Analytics]" caption="__XL_Count HR_Analytics" measure="1" displayFolder="" measureGroup="HR_Analytics" count="0" hidden="1"/>
    <cacheHierarchy uniqueName="[Measures].[__No measures defined]" caption="__No measures defined" measure="1" displayFolder="" count="0" hidden="1"/>
    <cacheHierarchy uniqueName="[Measures].[Sum of Age]" caption="Sum of Age" measure="1" displayFolder="" measureGroup="HR_Analytics" count="0" hidden="1">
      <extLst>
        <ext xmlns:x15="http://schemas.microsoft.com/office/spreadsheetml/2010/11/main" uri="{B97F6D7D-B522-45F9-BDA1-12C45D357490}">
          <x15:cacheHierarchy aggregatedColumn="1"/>
        </ext>
      </extLst>
    </cacheHierarchy>
    <cacheHierarchy uniqueName="[Measures].[Count of Attrition]" caption="Count of Attrition" measure="1" displayFolder="" measureGroup="HR_Analytics" count="0" hidden="1">
      <extLst>
        <ext xmlns:x15="http://schemas.microsoft.com/office/spreadsheetml/2010/11/main" uri="{B97F6D7D-B522-45F9-BDA1-12C45D357490}">
          <x15:cacheHierarchy aggregatedColumn="3"/>
        </ext>
      </extLst>
    </cacheHierarchy>
    <cacheHierarchy uniqueName="[Measures].[Count of OverTime]" caption="Count of OverTime" measure="1" displayFolder="" measureGroup="HR_Analytics" count="0" hidden="1">
      <extLst>
        <ext xmlns:x15="http://schemas.microsoft.com/office/spreadsheetml/2010/11/main" uri="{B97F6D7D-B522-45F9-BDA1-12C45D357490}">
          <x15:cacheHierarchy aggregatedColumn="25"/>
        </ext>
      </extLst>
    </cacheHierarchy>
    <cacheHierarchy uniqueName="[Measures].[Count of Department]" caption="Count of Department" measure="1" displayFolder="" measureGroup="HR_Analytics" count="0" hidden="1">
      <extLst>
        <ext xmlns:x15="http://schemas.microsoft.com/office/spreadsheetml/2010/11/main" uri="{B97F6D7D-B522-45F9-BDA1-12C45D357490}">
          <x15:cacheHierarchy aggregatedColumn="6"/>
        </ext>
      </extLst>
    </cacheHierarchy>
  </cacheHierarchies>
  <kpis count="0"/>
  <dimensions count="3">
    <dimension name="HR_Analytics" uniqueName="[HR_Analytics]" caption="HR_Analytics"/>
    <dimension measure="1" name="Measures" uniqueName="[Measures]" caption="Measures"/>
    <dimension name="Table1" uniqueName="[Table1]" caption="Table1"/>
  </dimensions>
  <measureGroups count="2">
    <measureGroup name="HR_Analytics" caption="HR_Analytics"/>
    <measureGroup name="Table1" caption="Table1"/>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323.833598611112" backgroundQuery="1" createdVersion="8" refreshedVersion="8" minRefreshableVersion="3" recordCount="0" supportSubquery="1" supportAdvancedDrill="1" xr:uid="{89D619CC-BA4F-40E9-83ED-C2E5D813F255}">
  <cacheSource type="external" connectionId="2"/>
  <cacheFields count="2">
    <cacheField name="[Measures].[Total Employess]" caption="Total Employess" numFmtId="0" hierarchy="40" level="32767"/>
    <cacheField name="[HR_Analytics].[Department].[Department]" caption="Department" numFmtId="0" hierarchy="6" level="1">
      <sharedItems containsSemiMixedTypes="0" containsNonDate="0" containsString="0"/>
    </cacheField>
  </cacheFields>
  <cacheHierarchies count="56">
    <cacheHierarchy uniqueName="[HR_Analytics].[EmpID]" caption="EmpID" attribute="1" defaultMemberUniqueName="[HR_Analytics].[EmpID].[All]" allUniqueName="[HR_Analytics].[EmpID].[All]" dimensionUniqueName="[HR_Analytics]" displayFolder="" count="0" memberValueDatatype="130" unbalanced="0"/>
    <cacheHierarchy uniqueName="[HR_Analytics].[Age]" caption="Age" attribute="1" defaultMemberUniqueName="[HR_Analytics].[Age].[All]" allUniqueName="[HR_Analytics].[Age].[All]" dimensionUniqueName="[HR_Analytics]" displayFolder="" count="0" memberValueDatatype="20" unbalanced="0"/>
    <cacheHierarchy uniqueName="[HR_Analytics].[AgeGroup]" caption="AgeGroup" attribute="1" defaultMemberUniqueName="[HR_Analytics].[AgeGroup].[All]" allUniqueName="[HR_Analytics].[AgeGroup].[All]" dimensionUniqueName="[HR_Analytics]" displayFolder="" count="0" memberValueDatatype="130" unbalanced="0"/>
    <cacheHierarchy uniqueName="[HR_Analytics].[Attrition]" caption="Attrition" attribute="1" defaultMemberUniqueName="[HR_Analytics].[Attrition].[All]" allUniqueName="[HR_Analytics].[Attrition].[All]" dimensionUniqueName="[HR_Analytics]" displayFolder="" count="0" memberValueDatatype="130" unbalanced="0"/>
    <cacheHierarchy uniqueName="[HR_Analytics].[BusinessTravel]" caption="BusinessTravel" attribute="1" defaultMemberUniqueName="[HR_Analytics].[BusinessTravel].[All]" allUniqueName="[HR_Analytics].[BusinessTravel].[All]" dimensionUniqueName="[HR_Analytics]" displayFolder="" count="0" memberValueDatatype="130" unbalanced="0"/>
    <cacheHierarchy uniqueName="[HR_Analytics].[DailyRate]" caption="DailyRate" attribute="1" defaultMemberUniqueName="[HR_Analytics].[DailyRate].[All]" allUniqueName="[HR_Analytics].[DailyRate].[All]" dimensionUniqueName="[HR_Analytics]" displayFolder="" count="0" memberValueDatatype="20" unbalanced="0"/>
    <cacheHierarchy uniqueName="[HR_Analytics].[Department]" caption="Department" attribute="1" defaultMemberUniqueName="[HR_Analytics].[Department].[All]" allUniqueName="[HR_Analytics].[Department].[All]" dimensionUniqueName="[HR_Analytics]" displayFolder="" count="2" memberValueDatatype="130" unbalanced="0">
      <fieldsUsage count="2">
        <fieldUsage x="-1"/>
        <fieldUsage x="1"/>
      </fieldsUsage>
    </cacheHierarchy>
    <cacheHierarchy uniqueName="[HR_Analytics].[DistanceFromHome]" caption="DistanceFromHome" attribute="1" defaultMemberUniqueName="[HR_Analytics].[DistanceFromHome].[All]" allUniqueName="[HR_Analytics].[DistanceFromHome].[All]" dimensionUniqueName="[HR_Analytics]" displayFolder="" count="0" memberValueDatatype="20" unbalanced="0"/>
    <cacheHierarchy uniqueName="[HR_Analytics].[Education]" caption="Education" attribute="1" defaultMemberUniqueName="[HR_Analytics].[Education].[All]" allUniqueName="[HR_Analytics].[Education].[All]" dimensionUniqueName="[HR_Analytics]" displayFolder="" count="0" memberValueDatatype="20" unbalanced="0"/>
    <cacheHierarchy uniqueName="[HR_Analytics].[EducationField]" caption="EducationField" attribute="1" defaultMemberUniqueName="[HR_Analytics].[EducationField].[All]" allUniqueName="[HR_Analytics].[EducationField].[All]" dimensionUniqueName="[HR_Analytics]" displayFolder="" count="0" memberValueDatatype="130" unbalanced="0"/>
    <cacheHierarchy uniqueName="[HR_Analytics].[EmployeeCount]" caption="EmployeeCount" attribute="1" defaultMemberUniqueName="[HR_Analytics].[EmployeeCount].[All]" allUniqueName="[HR_Analytics].[EmployeeCount].[All]" dimensionUniqueName="[HR_Analytics]" displayFolder="" count="0" memberValueDatatype="20" unbalanced="0"/>
    <cacheHierarchy uniqueName="[HR_Analytics].[EmployeeNumber]" caption="EmployeeNumber" attribute="1" defaultMemberUniqueName="[HR_Analytics].[EmployeeNumber].[All]" allUniqueName="[HR_Analytics].[EmployeeNumber].[All]" dimensionUniqueName="[HR_Analytics]" displayFolder="" count="0" memberValueDatatype="20" unbalanced="0"/>
    <cacheHierarchy uniqueName="[HR_Analytics].[EnvironmentSatisfaction]" caption="EnvironmentSatisfaction" attribute="1" defaultMemberUniqueName="[HR_Analytics].[EnvironmentSatisfaction].[All]" allUniqueName="[HR_Analytics].[EnvironmentSatisfaction].[All]" dimensionUniqueName="[HR_Analytics]" displayFolder="" count="0" memberValueDatatype="20" unbalanced="0"/>
    <cacheHierarchy uniqueName="[HR_Analytics].[Gender]" caption="Gender" attribute="1" defaultMemberUniqueName="[HR_Analytics].[Gender].[All]" allUniqueName="[HR_Analytics].[Gender].[All]" dimensionUniqueName="[HR_Analytics]" displayFolder="" count="0" memberValueDatatype="130" unbalanced="0"/>
    <cacheHierarchy uniqueName="[HR_Analytics].[HourlyRate]" caption="HourlyRate" attribute="1" defaultMemberUniqueName="[HR_Analytics].[HourlyRate].[All]" allUniqueName="[HR_Analytics].[HourlyRate].[All]" dimensionUniqueName="[HR_Analytics]" displayFolder="" count="0" memberValueDatatype="20" unbalanced="0"/>
    <cacheHierarchy uniqueName="[HR_Analytics].[JobInvolvement]" caption="JobInvolvement" attribute="1" defaultMemberUniqueName="[HR_Analytics].[JobInvolvement].[All]" allUniqueName="[HR_Analytics].[JobInvolvement].[All]" dimensionUniqueName="[HR_Analytics]" displayFolder="" count="0" memberValueDatatype="20" unbalanced="0"/>
    <cacheHierarchy uniqueName="[HR_Analytics].[JobLevel]" caption="JobLevel" attribute="1" defaultMemberUniqueName="[HR_Analytics].[JobLevel].[All]" allUniqueName="[HR_Analytics].[JobLevel].[All]" dimensionUniqueName="[HR_Analytics]" displayFolder="" count="0" memberValueDatatype="20" unbalanced="0"/>
    <cacheHierarchy uniqueName="[HR_Analytics].[JobRole]" caption="JobRole" attribute="1" defaultMemberUniqueName="[HR_Analytics].[JobRole].[All]" allUniqueName="[HR_Analytics].[JobRole].[All]" dimensionUniqueName="[HR_Analytics]" displayFolder="" count="0" memberValueDatatype="130" unbalanced="0"/>
    <cacheHierarchy uniqueName="[HR_Analytics].[JobSatisfaction]" caption="JobSatisfaction" attribute="1" defaultMemberUniqueName="[HR_Analytics].[JobSatisfaction].[All]" allUniqueName="[HR_Analytics].[JobSatisfaction].[All]" dimensionUniqueName="[HR_Analytics]" displayFolder="" count="0" memberValueDatatype="20" unbalanced="0"/>
    <cacheHierarchy uniqueName="[HR_Analytics].[MaritalStatus]" caption="MaritalStatus" attribute="1" defaultMemberUniqueName="[HR_Analytics].[MaritalStatus].[All]" allUniqueName="[HR_Analytics].[MaritalStatus].[All]" dimensionUniqueName="[HR_Analytics]" displayFolder="" count="0" memberValueDatatype="130" unbalanced="0"/>
    <cacheHierarchy uniqueName="[HR_Analytics].[MonthlyIncome]" caption="MonthlyIncome" attribute="1" defaultMemberUniqueName="[HR_Analytics].[MonthlyIncome].[All]" allUniqueName="[HR_Analytics].[MonthlyIncome].[All]" dimensionUniqueName="[HR_Analytics]" displayFolder="" count="0" memberValueDatatype="20" unbalanced="0"/>
    <cacheHierarchy uniqueName="[HR_Analytics].[SalarySlab]" caption="SalarySlab" attribute="1" defaultMemberUniqueName="[HR_Analytics].[SalarySlab].[All]" allUniqueName="[HR_Analytics].[SalarySlab].[All]" dimensionUniqueName="[HR_Analytics]" displayFolder="" count="2" memberValueDatatype="130" unbalanced="0"/>
    <cacheHierarchy uniqueName="[HR_Analytics].[MonthlyRate]" caption="MonthlyRate" attribute="1" defaultMemberUniqueName="[HR_Analytics].[MonthlyRate].[All]" allUniqueName="[HR_Analytics].[MonthlyRate].[All]" dimensionUniqueName="[HR_Analytics]" displayFolder="" count="0" memberValueDatatype="20" unbalanced="0"/>
    <cacheHierarchy uniqueName="[HR_Analytics].[NumCompaniesWorked]" caption="NumCompaniesWorked" attribute="1" defaultMemberUniqueName="[HR_Analytics].[NumCompaniesWorked].[All]" allUniqueName="[HR_Analytics].[NumCompaniesWorked].[All]" dimensionUniqueName="[HR_Analytics]" displayFolder="" count="0" memberValueDatatype="20" unbalanced="0"/>
    <cacheHierarchy uniqueName="[HR_Analytics].[Over18]" caption="Over18" attribute="1" defaultMemberUniqueName="[HR_Analytics].[Over18].[All]" allUniqueName="[HR_Analytics].[Over18].[All]" dimensionUniqueName="[HR_Analytics]" displayFolder="" count="0" memberValueDatatype="130" unbalanced="0"/>
    <cacheHierarchy uniqueName="[HR_Analytics].[OverTime]" caption="OverTime" attribute="1" defaultMemberUniqueName="[HR_Analytics].[OverTime].[All]" allUniqueName="[HR_Analytics].[OverTime].[All]" dimensionUniqueName="[HR_Analytics]" displayFolder="" count="0" memberValueDatatype="130" unbalanced="0"/>
    <cacheHierarchy uniqueName="[HR_Analytics].[PercentSalaryHike]" caption="PercentSalaryHike" attribute="1" defaultMemberUniqueName="[HR_Analytics].[PercentSalaryHike].[All]" allUniqueName="[HR_Analytics].[PercentSalaryHike].[All]" dimensionUniqueName="[HR_Analytics]" displayFolder="" count="0" memberValueDatatype="20" unbalanced="0"/>
    <cacheHierarchy uniqueName="[HR_Analytics].[PerformanceRating]" caption="PerformanceRating" attribute="1" defaultMemberUniqueName="[HR_Analytics].[PerformanceRating].[All]" allUniqueName="[HR_Analytics].[PerformanceRating].[All]" dimensionUniqueName="[HR_Analytics]" displayFolder="" count="0" memberValueDatatype="20" unbalanced="0"/>
    <cacheHierarchy uniqueName="[HR_Analytics].[RelationshipSatisfaction]" caption="RelationshipSatisfaction" attribute="1" defaultMemberUniqueName="[HR_Analytics].[RelationshipSatisfaction].[All]" allUniqueName="[HR_Analytics].[RelationshipSatisfaction].[All]" dimensionUniqueName="[HR_Analytics]" displayFolder="" count="0" memberValueDatatype="20" unbalanced="0"/>
    <cacheHierarchy uniqueName="[HR_Analytics].[StandardHours]" caption="StandardHours" attribute="1" defaultMemberUniqueName="[HR_Analytics].[StandardHours].[All]" allUniqueName="[HR_Analytics].[StandardHours].[All]" dimensionUniqueName="[HR_Analytics]" displayFolder="" count="0" memberValueDatatype="20" unbalanced="0"/>
    <cacheHierarchy uniqueName="[HR_Analytics].[StockOptionLevel]" caption="StockOptionLevel" attribute="1" defaultMemberUniqueName="[HR_Analytics].[StockOptionLevel].[All]" allUniqueName="[HR_Analytics].[StockOptionLevel].[All]" dimensionUniqueName="[HR_Analytics]" displayFolder="" count="0" memberValueDatatype="20" unbalanced="0"/>
    <cacheHierarchy uniqueName="[HR_Analytics].[TotalWorkingYears]" caption="TotalWorkingYears" attribute="1" defaultMemberUniqueName="[HR_Analytics].[TotalWorkingYears].[All]" allUniqueName="[HR_Analytics].[TotalWorkingYears].[All]" dimensionUniqueName="[HR_Analytics]" displayFolder="" count="0" memberValueDatatype="20" unbalanced="0"/>
    <cacheHierarchy uniqueName="[HR_Analytics].[TrainingTimesLastYear]" caption="TrainingTimesLastYear" attribute="1" defaultMemberUniqueName="[HR_Analytics].[TrainingTimesLastYear].[All]" allUniqueName="[HR_Analytics].[TrainingTimesLastYear].[All]" dimensionUniqueName="[HR_Analytics]" displayFolder="" count="0" memberValueDatatype="20" unbalanced="0"/>
    <cacheHierarchy uniqueName="[HR_Analytics].[WorkLifeBalance]" caption="WorkLifeBalance" attribute="1" defaultMemberUniqueName="[HR_Analytics].[WorkLifeBalance].[All]" allUniqueName="[HR_Analytics].[WorkLifeBalance].[All]" dimensionUniqueName="[HR_Analytics]" displayFolder="" count="0" memberValueDatatype="20" unbalanced="0"/>
    <cacheHierarchy uniqueName="[HR_Analytics].[YearsAtCompany]" caption="YearsAtCompany" attribute="1" defaultMemberUniqueName="[HR_Analytics].[YearsAtCompany].[All]" allUniqueName="[HR_Analytics].[YearsAtCompany].[All]" dimensionUniqueName="[HR_Analytics]" displayFolder="" count="0" memberValueDatatype="20" unbalanced="0"/>
    <cacheHierarchy uniqueName="[HR_Analytics].[YearsInCurrentRole]" caption="YearsInCurrentRole" attribute="1" defaultMemberUniqueName="[HR_Analytics].[YearsInCurrentRole].[All]" allUniqueName="[HR_Analytics].[YearsInCurrentRole].[All]" dimensionUniqueName="[HR_Analytics]" displayFolder="" count="0" memberValueDatatype="20" unbalanced="0"/>
    <cacheHierarchy uniqueName="[HR_Analytics].[YearsSinceLastPromotion]" caption="YearsSinceLastPromotion" attribute="1" defaultMemberUniqueName="[HR_Analytics].[YearsSinceLastPromotion].[All]" allUniqueName="[HR_Analytics].[YearsSinceLastPromotion].[All]" dimensionUniqueName="[HR_Analytics]" displayFolder="" count="0" memberValueDatatype="20" unbalanced="0"/>
    <cacheHierarchy uniqueName="[HR_Analytics].[YearsWithCurrManager]" caption="YearsWithCurrManager" attribute="1" defaultMemberUniqueName="[HR_Analytics].[YearsWithCurrManager].[All]" allUniqueName="[HR_Analytics].[YearsWithCurrManager].[All]" dimensionUniqueName="[HR_Analytics]" displayFolder="" count="0" memberValueDatatype="5" unbalanced="0"/>
    <cacheHierarchy uniqueName="[Table1].[Column]" caption="Column" attribute="1" defaultMemberUniqueName="[Table1].[Column].[All]" allUniqueName="[Table1].[Column].[All]" dimensionUniqueName="[Table1]" displayFolder="" count="0" memberValueDatatype="130" unbalanced="0"/>
    <cacheHierarchy uniqueName="[Table1].[المعنى بالعربي]" caption="المعنى بالعربي" attribute="1" defaultMemberUniqueName="[Table1].[المعنى بالعربي].[All]" allUniqueName="[Table1].[المعنى بالعربي].[All]" dimensionUniqueName="[Table1]" displayFolder="" count="0" memberValueDatatype="130" unbalanced="0"/>
    <cacheHierarchy uniqueName="[Measures].[Total Employess]" caption="Total Employess" measure="1" displayFolder="" measureGroup="HR_Analytics" count="0" oneField="1">
      <fieldsUsage count="1">
        <fieldUsage x="0"/>
      </fieldsUsage>
    </cacheHierarchy>
    <cacheHierarchy uniqueName="[Measures].[Attrition Rate]" caption="Attrition Rate" measure="1" displayFolder="" measureGroup="HR_Analytics" count="0"/>
    <cacheHierarchy uniqueName="[Measures].[Overtime Rate]" caption="Overtime Rate" measure="1" displayFolder="" measureGroup="HR_Analytics" count="0"/>
    <cacheHierarchy uniqueName="[Measures].[Stasfaction Score]" caption="Stasfaction Score" measure="1" displayFolder="" measureGroup="HR_Analytics" count="0"/>
    <cacheHierarchy uniqueName="[Measures].[Monthly Income]" caption="Monthly Income" measure="1" displayFolder="" measureGroup="HR_Analytics" count="0"/>
    <cacheHierarchy uniqueName="[Measures].[Avg Age]" caption="Avg Age" measure="1" displayFolder="" measureGroup="HR_Analytics" count="0"/>
    <cacheHierarchy uniqueName="[Measures].[Avg Tenure]" caption="Avg Tenure" measure="1" displayFolder="" measureGroup="HR_Analytics" count="0"/>
    <cacheHierarchy uniqueName="[Measures].[Avg Env Sat]" caption="Avg Env Sat" measure="1" displayFolder="" measureGroup="HR_Analytics" count="0"/>
    <cacheHierarchy uniqueName="[Measures].[Avg WLB]" caption="Avg WLB" measure="1" displayFolder="" measureGroup="HR_Analytics" count="0"/>
    <cacheHierarchy uniqueName="[Measures].[__XL_Count Table1]" caption="__XL_Count Table1" measure="1" displayFolder="" measureGroup="Table1" count="0" hidden="1"/>
    <cacheHierarchy uniqueName="[Measures].[__XL_Count HR_Analytics]" caption="__XL_Count HR_Analytics" measure="1" displayFolder="" measureGroup="HR_Analytics" count="0" hidden="1"/>
    <cacheHierarchy uniqueName="[Measures].[__No measures defined]" caption="__No measures defined" measure="1" displayFolder="" count="0" hidden="1"/>
    <cacheHierarchy uniqueName="[Measures].[Sum of Age]" caption="Sum of Age" measure="1" displayFolder="" measureGroup="HR_Analytics" count="0" hidden="1">
      <extLst>
        <ext xmlns:x15="http://schemas.microsoft.com/office/spreadsheetml/2010/11/main" uri="{B97F6D7D-B522-45F9-BDA1-12C45D357490}">
          <x15:cacheHierarchy aggregatedColumn="1"/>
        </ext>
      </extLst>
    </cacheHierarchy>
    <cacheHierarchy uniqueName="[Measures].[Count of Attrition]" caption="Count of Attrition" measure="1" displayFolder="" measureGroup="HR_Analytics" count="0" hidden="1">
      <extLst>
        <ext xmlns:x15="http://schemas.microsoft.com/office/spreadsheetml/2010/11/main" uri="{B97F6D7D-B522-45F9-BDA1-12C45D357490}">
          <x15:cacheHierarchy aggregatedColumn="3"/>
        </ext>
      </extLst>
    </cacheHierarchy>
    <cacheHierarchy uniqueName="[Measures].[Count of OverTime]" caption="Count of OverTime" measure="1" displayFolder="" measureGroup="HR_Analytics" count="0" hidden="1">
      <extLst>
        <ext xmlns:x15="http://schemas.microsoft.com/office/spreadsheetml/2010/11/main" uri="{B97F6D7D-B522-45F9-BDA1-12C45D357490}">
          <x15:cacheHierarchy aggregatedColumn="25"/>
        </ext>
      </extLst>
    </cacheHierarchy>
    <cacheHierarchy uniqueName="[Measures].[Count of Department]" caption="Count of Department" measure="1" displayFolder="" measureGroup="HR_Analytics" count="0" hidden="1">
      <extLst>
        <ext xmlns:x15="http://schemas.microsoft.com/office/spreadsheetml/2010/11/main" uri="{B97F6D7D-B522-45F9-BDA1-12C45D357490}">
          <x15:cacheHierarchy aggregatedColumn="6"/>
        </ext>
      </extLst>
    </cacheHierarchy>
  </cacheHierarchies>
  <kpis count="0"/>
  <dimensions count="3">
    <dimension name="HR_Analytics" uniqueName="[HR_Analytics]" caption="HR_Analytics"/>
    <dimension measure="1" name="Measures" uniqueName="[Measures]" caption="Measures"/>
    <dimension name="Table1" uniqueName="[Table1]" caption="Table1"/>
  </dimensions>
  <measureGroups count="2">
    <measureGroup name="HR_Analytics" caption="HR_Analytics"/>
    <measureGroup name="Table1" caption="Table1"/>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323.83359884259" backgroundQuery="1" createdVersion="8" refreshedVersion="8" minRefreshableVersion="3" recordCount="0" supportSubquery="1" supportAdvancedDrill="1" xr:uid="{277D7F60-B4C6-4C88-B076-B317CBC5561A}">
  <cacheSource type="external" connectionId="2"/>
  <cacheFields count="2">
    <cacheField name="[Measures].[Avg Age]" caption="Avg Age" numFmtId="0" hierarchy="45" level="32767"/>
    <cacheField name="[HR_Analytics].[Department].[Department]" caption="Department" numFmtId="0" hierarchy="6" level="1">
      <sharedItems containsSemiMixedTypes="0" containsNonDate="0" containsString="0"/>
    </cacheField>
  </cacheFields>
  <cacheHierarchies count="56">
    <cacheHierarchy uniqueName="[HR_Analytics].[EmpID]" caption="EmpID" attribute="1" defaultMemberUniqueName="[HR_Analytics].[EmpID].[All]" allUniqueName="[HR_Analytics].[EmpID].[All]" dimensionUniqueName="[HR_Analytics]" displayFolder="" count="0" memberValueDatatype="130" unbalanced="0"/>
    <cacheHierarchy uniqueName="[HR_Analytics].[Age]" caption="Age" attribute="1" defaultMemberUniqueName="[HR_Analytics].[Age].[All]" allUniqueName="[HR_Analytics].[Age].[All]" dimensionUniqueName="[HR_Analytics]" displayFolder="" count="0" memberValueDatatype="20" unbalanced="0"/>
    <cacheHierarchy uniqueName="[HR_Analytics].[AgeGroup]" caption="AgeGroup" attribute="1" defaultMemberUniqueName="[HR_Analytics].[AgeGroup].[All]" allUniqueName="[HR_Analytics].[AgeGroup].[All]" dimensionUniqueName="[HR_Analytics]" displayFolder="" count="0" memberValueDatatype="130" unbalanced="0"/>
    <cacheHierarchy uniqueName="[HR_Analytics].[Attrition]" caption="Attrition" attribute="1" defaultMemberUniqueName="[HR_Analytics].[Attrition].[All]" allUniqueName="[HR_Analytics].[Attrition].[All]" dimensionUniqueName="[HR_Analytics]" displayFolder="" count="0" memberValueDatatype="130" unbalanced="0"/>
    <cacheHierarchy uniqueName="[HR_Analytics].[BusinessTravel]" caption="BusinessTravel" attribute="1" defaultMemberUniqueName="[HR_Analytics].[BusinessTravel].[All]" allUniqueName="[HR_Analytics].[BusinessTravel].[All]" dimensionUniqueName="[HR_Analytics]" displayFolder="" count="0" memberValueDatatype="130" unbalanced="0"/>
    <cacheHierarchy uniqueName="[HR_Analytics].[DailyRate]" caption="DailyRate" attribute="1" defaultMemberUniqueName="[HR_Analytics].[DailyRate].[All]" allUniqueName="[HR_Analytics].[DailyRate].[All]" dimensionUniqueName="[HR_Analytics]" displayFolder="" count="0" memberValueDatatype="20" unbalanced="0"/>
    <cacheHierarchy uniqueName="[HR_Analytics].[Department]" caption="Department" attribute="1" defaultMemberUniqueName="[HR_Analytics].[Department].[All]" allUniqueName="[HR_Analytics].[Department].[All]" dimensionUniqueName="[HR_Analytics]" displayFolder="" count="2" memberValueDatatype="130" unbalanced="0">
      <fieldsUsage count="2">
        <fieldUsage x="-1"/>
        <fieldUsage x="1"/>
      </fieldsUsage>
    </cacheHierarchy>
    <cacheHierarchy uniqueName="[HR_Analytics].[DistanceFromHome]" caption="DistanceFromHome" attribute="1" defaultMemberUniqueName="[HR_Analytics].[DistanceFromHome].[All]" allUniqueName="[HR_Analytics].[DistanceFromHome].[All]" dimensionUniqueName="[HR_Analytics]" displayFolder="" count="0" memberValueDatatype="20" unbalanced="0"/>
    <cacheHierarchy uniqueName="[HR_Analytics].[Education]" caption="Education" attribute="1" defaultMemberUniqueName="[HR_Analytics].[Education].[All]" allUniqueName="[HR_Analytics].[Education].[All]" dimensionUniqueName="[HR_Analytics]" displayFolder="" count="0" memberValueDatatype="20" unbalanced="0"/>
    <cacheHierarchy uniqueName="[HR_Analytics].[EducationField]" caption="EducationField" attribute="1" defaultMemberUniqueName="[HR_Analytics].[EducationField].[All]" allUniqueName="[HR_Analytics].[EducationField].[All]" dimensionUniqueName="[HR_Analytics]" displayFolder="" count="0" memberValueDatatype="130" unbalanced="0"/>
    <cacheHierarchy uniqueName="[HR_Analytics].[EmployeeCount]" caption="EmployeeCount" attribute="1" defaultMemberUniqueName="[HR_Analytics].[EmployeeCount].[All]" allUniqueName="[HR_Analytics].[EmployeeCount].[All]" dimensionUniqueName="[HR_Analytics]" displayFolder="" count="0" memberValueDatatype="20" unbalanced="0"/>
    <cacheHierarchy uniqueName="[HR_Analytics].[EmployeeNumber]" caption="EmployeeNumber" attribute="1" defaultMemberUniqueName="[HR_Analytics].[EmployeeNumber].[All]" allUniqueName="[HR_Analytics].[EmployeeNumber].[All]" dimensionUniqueName="[HR_Analytics]" displayFolder="" count="0" memberValueDatatype="20" unbalanced="0"/>
    <cacheHierarchy uniqueName="[HR_Analytics].[EnvironmentSatisfaction]" caption="EnvironmentSatisfaction" attribute="1" defaultMemberUniqueName="[HR_Analytics].[EnvironmentSatisfaction].[All]" allUniqueName="[HR_Analytics].[EnvironmentSatisfaction].[All]" dimensionUniqueName="[HR_Analytics]" displayFolder="" count="0" memberValueDatatype="20" unbalanced="0"/>
    <cacheHierarchy uniqueName="[HR_Analytics].[Gender]" caption="Gender" attribute="1" defaultMemberUniqueName="[HR_Analytics].[Gender].[All]" allUniqueName="[HR_Analytics].[Gender].[All]" dimensionUniqueName="[HR_Analytics]" displayFolder="" count="0" memberValueDatatype="130" unbalanced="0"/>
    <cacheHierarchy uniqueName="[HR_Analytics].[HourlyRate]" caption="HourlyRate" attribute="1" defaultMemberUniqueName="[HR_Analytics].[HourlyRate].[All]" allUniqueName="[HR_Analytics].[HourlyRate].[All]" dimensionUniqueName="[HR_Analytics]" displayFolder="" count="0" memberValueDatatype="20" unbalanced="0"/>
    <cacheHierarchy uniqueName="[HR_Analytics].[JobInvolvement]" caption="JobInvolvement" attribute="1" defaultMemberUniqueName="[HR_Analytics].[JobInvolvement].[All]" allUniqueName="[HR_Analytics].[JobInvolvement].[All]" dimensionUniqueName="[HR_Analytics]" displayFolder="" count="0" memberValueDatatype="20" unbalanced="0"/>
    <cacheHierarchy uniqueName="[HR_Analytics].[JobLevel]" caption="JobLevel" attribute="1" defaultMemberUniqueName="[HR_Analytics].[JobLevel].[All]" allUniqueName="[HR_Analytics].[JobLevel].[All]" dimensionUniqueName="[HR_Analytics]" displayFolder="" count="0" memberValueDatatype="20" unbalanced="0"/>
    <cacheHierarchy uniqueName="[HR_Analytics].[JobRole]" caption="JobRole" attribute="1" defaultMemberUniqueName="[HR_Analytics].[JobRole].[All]" allUniqueName="[HR_Analytics].[JobRole].[All]" dimensionUniqueName="[HR_Analytics]" displayFolder="" count="0" memberValueDatatype="130" unbalanced="0"/>
    <cacheHierarchy uniqueName="[HR_Analytics].[JobSatisfaction]" caption="JobSatisfaction" attribute="1" defaultMemberUniqueName="[HR_Analytics].[JobSatisfaction].[All]" allUniqueName="[HR_Analytics].[JobSatisfaction].[All]" dimensionUniqueName="[HR_Analytics]" displayFolder="" count="0" memberValueDatatype="20" unbalanced="0"/>
    <cacheHierarchy uniqueName="[HR_Analytics].[MaritalStatus]" caption="MaritalStatus" attribute="1" defaultMemberUniqueName="[HR_Analytics].[MaritalStatus].[All]" allUniqueName="[HR_Analytics].[MaritalStatus].[All]" dimensionUniqueName="[HR_Analytics]" displayFolder="" count="0" memberValueDatatype="130" unbalanced="0"/>
    <cacheHierarchy uniqueName="[HR_Analytics].[MonthlyIncome]" caption="MonthlyIncome" attribute="1" defaultMemberUniqueName="[HR_Analytics].[MonthlyIncome].[All]" allUniqueName="[HR_Analytics].[MonthlyIncome].[All]" dimensionUniqueName="[HR_Analytics]" displayFolder="" count="0" memberValueDatatype="20" unbalanced="0"/>
    <cacheHierarchy uniqueName="[HR_Analytics].[SalarySlab]" caption="SalarySlab" attribute="1" defaultMemberUniqueName="[HR_Analytics].[SalarySlab].[All]" allUniqueName="[HR_Analytics].[SalarySlab].[All]" dimensionUniqueName="[HR_Analytics]" displayFolder="" count="2" memberValueDatatype="130" unbalanced="0"/>
    <cacheHierarchy uniqueName="[HR_Analytics].[MonthlyRate]" caption="MonthlyRate" attribute="1" defaultMemberUniqueName="[HR_Analytics].[MonthlyRate].[All]" allUniqueName="[HR_Analytics].[MonthlyRate].[All]" dimensionUniqueName="[HR_Analytics]" displayFolder="" count="0" memberValueDatatype="20" unbalanced="0"/>
    <cacheHierarchy uniqueName="[HR_Analytics].[NumCompaniesWorked]" caption="NumCompaniesWorked" attribute="1" defaultMemberUniqueName="[HR_Analytics].[NumCompaniesWorked].[All]" allUniqueName="[HR_Analytics].[NumCompaniesWorked].[All]" dimensionUniqueName="[HR_Analytics]" displayFolder="" count="0" memberValueDatatype="20" unbalanced="0"/>
    <cacheHierarchy uniqueName="[HR_Analytics].[Over18]" caption="Over18" attribute="1" defaultMemberUniqueName="[HR_Analytics].[Over18].[All]" allUniqueName="[HR_Analytics].[Over18].[All]" dimensionUniqueName="[HR_Analytics]" displayFolder="" count="0" memberValueDatatype="130" unbalanced="0"/>
    <cacheHierarchy uniqueName="[HR_Analytics].[OverTime]" caption="OverTime" attribute="1" defaultMemberUniqueName="[HR_Analytics].[OverTime].[All]" allUniqueName="[HR_Analytics].[OverTime].[All]" dimensionUniqueName="[HR_Analytics]" displayFolder="" count="0" memberValueDatatype="130" unbalanced="0"/>
    <cacheHierarchy uniqueName="[HR_Analytics].[PercentSalaryHike]" caption="PercentSalaryHike" attribute="1" defaultMemberUniqueName="[HR_Analytics].[PercentSalaryHike].[All]" allUniqueName="[HR_Analytics].[PercentSalaryHike].[All]" dimensionUniqueName="[HR_Analytics]" displayFolder="" count="0" memberValueDatatype="20" unbalanced="0"/>
    <cacheHierarchy uniqueName="[HR_Analytics].[PerformanceRating]" caption="PerformanceRating" attribute="1" defaultMemberUniqueName="[HR_Analytics].[PerformanceRating].[All]" allUniqueName="[HR_Analytics].[PerformanceRating].[All]" dimensionUniqueName="[HR_Analytics]" displayFolder="" count="0" memberValueDatatype="20" unbalanced="0"/>
    <cacheHierarchy uniqueName="[HR_Analytics].[RelationshipSatisfaction]" caption="RelationshipSatisfaction" attribute="1" defaultMemberUniqueName="[HR_Analytics].[RelationshipSatisfaction].[All]" allUniqueName="[HR_Analytics].[RelationshipSatisfaction].[All]" dimensionUniqueName="[HR_Analytics]" displayFolder="" count="0" memberValueDatatype="20" unbalanced="0"/>
    <cacheHierarchy uniqueName="[HR_Analytics].[StandardHours]" caption="StandardHours" attribute="1" defaultMemberUniqueName="[HR_Analytics].[StandardHours].[All]" allUniqueName="[HR_Analytics].[StandardHours].[All]" dimensionUniqueName="[HR_Analytics]" displayFolder="" count="0" memberValueDatatype="20" unbalanced="0"/>
    <cacheHierarchy uniqueName="[HR_Analytics].[StockOptionLevel]" caption="StockOptionLevel" attribute="1" defaultMemberUniqueName="[HR_Analytics].[StockOptionLevel].[All]" allUniqueName="[HR_Analytics].[StockOptionLevel].[All]" dimensionUniqueName="[HR_Analytics]" displayFolder="" count="0" memberValueDatatype="20" unbalanced="0"/>
    <cacheHierarchy uniqueName="[HR_Analytics].[TotalWorkingYears]" caption="TotalWorkingYears" attribute="1" defaultMemberUniqueName="[HR_Analytics].[TotalWorkingYears].[All]" allUniqueName="[HR_Analytics].[TotalWorkingYears].[All]" dimensionUniqueName="[HR_Analytics]" displayFolder="" count="0" memberValueDatatype="20" unbalanced="0"/>
    <cacheHierarchy uniqueName="[HR_Analytics].[TrainingTimesLastYear]" caption="TrainingTimesLastYear" attribute="1" defaultMemberUniqueName="[HR_Analytics].[TrainingTimesLastYear].[All]" allUniqueName="[HR_Analytics].[TrainingTimesLastYear].[All]" dimensionUniqueName="[HR_Analytics]" displayFolder="" count="0" memberValueDatatype="20" unbalanced="0"/>
    <cacheHierarchy uniqueName="[HR_Analytics].[WorkLifeBalance]" caption="WorkLifeBalance" attribute="1" defaultMemberUniqueName="[HR_Analytics].[WorkLifeBalance].[All]" allUniqueName="[HR_Analytics].[WorkLifeBalance].[All]" dimensionUniqueName="[HR_Analytics]" displayFolder="" count="0" memberValueDatatype="20" unbalanced="0"/>
    <cacheHierarchy uniqueName="[HR_Analytics].[YearsAtCompany]" caption="YearsAtCompany" attribute="1" defaultMemberUniqueName="[HR_Analytics].[YearsAtCompany].[All]" allUniqueName="[HR_Analytics].[YearsAtCompany].[All]" dimensionUniqueName="[HR_Analytics]" displayFolder="" count="0" memberValueDatatype="20" unbalanced="0"/>
    <cacheHierarchy uniqueName="[HR_Analytics].[YearsInCurrentRole]" caption="YearsInCurrentRole" attribute="1" defaultMemberUniqueName="[HR_Analytics].[YearsInCurrentRole].[All]" allUniqueName="[HR_Analytics].[YearsInCurrentRole].[All]" dimensionUniqueName="[HR_Analytics]" displayFolder="" count="0" memberValueDatatype="20" unbalanced="0"/>
    <cacheHierarchy uniqueName="[HR_Analytics].[YearsSinceLastPromotion]" caption="YearsSinceLastPromotion" attribute="1" defaultMemberUniqueName="[HR_Analytics].[YearsSinceLastPromotion].[All]" allUniqueName="[HR_Analytics].[YearsSinceLastPromotion].[All]" dimensionUniqueName="[HR_Analytics]" displayFolder="" count="0" memberValueDatatype="20" unbalanced="0"/>
    <cacheHierarchy uniqueName="[HR_Analytics].[YearsWithCurrManager]" caption="YearsWithCurrManager" attribute="1" defaultMemberUniqueName="[HR_Analytics].[YearsWithCurrManager].[All]" allUniqueName="[HR_Analytics].[YearsWithCurrManager].[All]" dimensionUniqueName="[HR_Analytics]" displayFolder="" count="0" memberValueDatatype="5" unbalanced="0"/>
    <cacheHierarchy uniqueName="[Table1].[Column]" caption="Column" attribute="1" defaultMemberUniqueName="[Table1].[Column].[All]" allUniqueName="[Table1].[Column].[All]" dimensionUniqueName="[Table1]" displayFolder="" count="0" memberValueDatatype="130" unbalanced="0"/>
    <cacheHierarchy uniqueName="[Table1].[المعنى بالعربي]" caption="المعنى بالعربي" attribute="1" defaultMemberUniqueName="[Table1].[المعنى بالعربي].[All]" allUniqueName="[Table1].[المعنى بالعربي].[All]" dimensionUniqueName="[Table1]" displayFolder="" count="0" memberValueDatatype="130" unbalanced="0"/>
    <cacheHierarchy uniqueName="[Measures].[Total Employess]" caption="Total Employess" measure="1" displayFolder="" measureGroup="HR_Analytics" count="0"/>
    <cacheHierarchy uniqueName="[Measures].[Attrition Rate]" caption="Attrition Rate" measure="1" displayFolder="" measureGroup="HR_Analytics" count="0"/>
    <cacheHierarchy uniqueName="[Measures].[Overtime Rate]" caption="Overtime Rate" measure="1" displayFolder="" measureGroup="HR_Analytics" count="0"/>
    <cacheHierarchy uniqueName="[Measures].[Stasfaction Score]" caption="Stasfaction Score" measure="1" displayFolder="" measureGroup="HR_Analytics" count="0"/>
    <cacheHierarchy uniqueName="[Measures].[Monthly Income]" caption="Monthly Income" measure="1" displayFolder="" measureGroup="HR_Analytics" count="0"/>
    <cacheHierarchy uniqueName="[Measures].[Avg Age]" caption="Avg Age" measure="1" displayFolder="" measureGroup="HR_Analytics" count="0" oneField="1">
      <fieldsUsage count="1">
        <fieldUsage x="0"/>
      </fieldsUsage>
    </cacheHierarchy>
    <cacheHierarchy uniqueName="[Measures].[Avg Tenure]" caption="Avg Tenure" measure="1" displayFolder="" measureGroup="HR_Analytics" count="0"/>
    <cacheHierarchy uniqueName="[Measures].[Avg Env Sat]" caption="Avg Env Sat" measure="1" displayFolder="" measureGroup="HR_Analytics" count="0"/>
    <cacheHierarchy uniqueName="[Measures].[Avg WLB]" caption="Avg WLB" measure="1" displayFolder="" measureGroup="HR_Analytics" count="0"/>
    <cacheHierarchy uniqueName="[Measures].[__XL_Count Table1]" caption="__XL_Count Table1" measure="1" displayFolder="" measureGroup="Table1" count="0" hidden="1"/>
    <cacheHierarchy uniqueName="[Measures].[__XL_Count HR_Analytics]" caption="__XL_Count HR_Analytics" measure="1" displayFolder="" measureGroup="HR_Analytics" count="0" hidden="1"/>
    <cacheHierarchy uniqueName="[Measures].[__No measures defined]" caption="__No measures defined" measure="1" displayFolder="" count="0" hidden="1"/>
    <cacheHierarchy uniqueName="[Measures].[Sum of Age]" caption="Sum of Age" measure="1" displayFolder="" measureGroup="HR_Analytics" count="0" hidden="1">
      <extLst>
        <ext xmlns:x15="http://schemas.microsoft.com/office/spreadsheetml/2010/11/main" uri="{B97F6D7D-B522-45F9-BDA1-12C45D357490}">
          <x15:cacheHierarchy aggregatedColumn="1"/>
        </ext>
      </extLst>
    </cacheHierarchy>
    <cacheHierarchy uniqueName="[Measures].[Count of Attrition]" caption="Count of Attrition" measure="1" displayFolder="" measureGroup="HR_Analytics" count="0" hidden="1">
      <extLst>
        <ext xmlns:x15="http://schemas.microsoft.com/office/spreadsheetml/2010/11/main" uri="{B97F6D7D-B522-45F9-BDA1-12C45D357490}">
          <x15:cacheHierarchy aggregatedColumn="3"/>
        </ext>
      </extLst>
    </cacheHierarchy>
    <cacheHierarchy uniqueName="[Measures].[Count of OverTime]" caption="Count of OverTime" measure="1" displayFolder="" measureGroup="HR_Analytics" count="0" hidden="1">
      <extLst>
        <ext xmlns:x15="http://schemas.microsoft.com/office/spreadsheetml/2010/11/main" uri="{B97F6D7D-B522-45F9-BDA1-12C45D357490}">
          <x15:cacheHierarchy aggregatedColumn="25"/>
        </ext>
      </extLst>
    </cacheHierarchy>
    <cacheHierarchy uniqueName="[Measures].[Count of Department]" caption="Count of Department" measure="1" displayFolder="" measureGroup="HR_Analytics" count="0" hidden="1">
      <extLst>
        <ext xmlns:x15="http://schemas.microsoft.com/office/spreadsheetml/2010/11/main" uri="{B97F6D7D-B522-45F9-BDA1-12C45D357490}">
          <x15:cacheHierarchy aggregatedColumn="6"/>
        </ext>
      </extLst>
    </cacheHierarchy>
  </cacheHierarchies>
  <kpis count="0"/>
  <dimensions count="3">
    <dimension name="HR_Analytics" uniqueName="[HR_Analytics]" caption="HR_Analytics"/>
    <dimension measure="1" name="Measures" uniqueName="[Measures]" caption="Measures"/>
    <dimension name="Table1" uniqueName="[Table1]" caption="Table1"/>
  </dimensions>
  <measureGroups count="2">
    <measureGroup name="HR_Analytics" caption="HR_Analytics"/>
    <measureGroup name="Table1" caption="Table1"/>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323.833599074074" backgroundQuery="1" createdVersion="8" refreshedVersion="8" minRefreshableVersion="3" recordCount="0" supportSubquery="1" supportAdvancedDrill="1" xr:uid="{AD414B88-5BA8-455D-B5AE-74201FA69A99}">
  <cacheSource type="external" connectionId="2"/>
  <cacheFields count="2">
    <cacheField name="[Measures].[Avg Tenure]" caption="Avg Tenure" numFmtId="0" hierarchy="46" level="32767"/>
    <cacheField name="[HR_Analytics].[Department].[Department]" caption="Department" numFmtId="0" hierarchy="6" level="1">
      <sharedItems containsSemiMixedTypes="0" containsNonDate="0" containsString="0"/>
    </cacheField>
  </cacheFields>
  <cacheHierarchies count="56">
    <cacheHierarchy uniqueName="[HR_Analytics].[EmpID]" caption="EmpID" attribute="1" defaultMemberUniqueName="[HR_Analytics].[EmpID].[All]" allUniqueName="[HR_Analytics].[EmpID].[All]" dimensionUniqueName="[HR_Analytics]" displayFolder="" count="0" memberValueDatatype="130" unbalanced="0"/>
    <cacheHierarchy uniqueName="[HR_Analytics].[Age]" caption="Age" attribute="1" defaultMemberUniqueName="[HR_Analytics].[Age].[All]" allUniqueName="[HR_Analytics].[Age].[All]" dimensionUniqueName="[HR_Analytics]" displayFolder="" count="0" memberValueDatatype="20" unbalanced="0"/>
    <cacheHierarchy uniqueName="[HR_Analytics].[AgeGroup]" caption="AgeGroup" attribute="1" defaultMemberUniqueName="[HR_Analytics].[AgeGroup].[All]" allUniqueName="[HR_Analytics].[AgeGroup].[All]" dimensionUniqueName="[HR_Analytics]" displayFolder="" count="0" memberValueDatatype="130" unbalanced="0"/>
    <cacheHierarchy uniqueName="[HR_Analytics].[Attrition]" caption="Attrition" attribute="1" defaultMemberUniqueName="[HR_Analytics].[Attrition].[All]" allUniqueName="[HR_Analytics].[Attrition].[All]" dimensionUniqueName="[HR_Analytics]" displayFolder="" count="0" memberValueDatatype="130" unbalanced="0"/>
    <cacheHierarchy uniqueName="[HR_Analytics].[BusinessTravel]" caption="BusinessTravel" attribute="1" defaultMemberUniqueName="[HR_Analytics].[BusinessTravel].[All]" allUniqueName="[HR_Analytics].[BusinessTravel].[All]" dimensionUniqueName="[HR_Analytics]" displayFolder="" count="0" memberValueDatatype="130" unbalanced="0"/>
    <cacheHierarchy uniqueName="[HR_Analytics].[DailyRate]" caption="DailyRate" attribute="1" defaultMemberUniqueName="[HR_Analytics].[DailyRate].[All]" allUniqueName="[HR_Analytics].[DailyRate].[All]" dimensionUniqueName="[HR_Analytics]" displayFolder="" count="0" memberValueDatatype="20" unbalanced="0"/>
    <cacheHierarchy uniqueName="[HR_Analytics].[Department]" caption="Department" attribute="1" defaultMemberUniqueName="[HR_Analytics].[Department].[All]" allUniqueName="[HR_Analytics].[Department].[All]" dimensionUniqueName="[HR_Analytics]" displayFolder="" count="2" memberValueDatatype="130" unbalanced="0">
      <fieldsUsage count="2">
        <fieldUsage x="-1"/>
        <fieldUsage x="1"/>
      </fieldsUsage>
    </cacheHierarchy>
    <cacheHierarchy uniqueName="[HR_Analytics].[DistanceFromHome]" caption="DistanceFromHome" attribute="1" defaultMemberUniqueName="[HR_Analytics].[DistanceFromHome].[All]" allUniqueName="[HR_Analytics].[DistanceFromHome].[All]" dimensionUniqueName="[HR_Analytics]" displayFolder="" count="0" memberValueDatatype="20" unbalanced="0"/>
    <cacheHierarchy uniqueName="[HR_Analytics].[Education]" caption="Education" attribute="1" defaultMemberUniqueName="[HR_Analytics].[Education].[All]" allUniqueName="[HR_Analytics].[Education].[All]" dimensionUniqueName="[HR_Analytics]" displayFolder="" count="0" memberValueDatatype="20" unbalanced="0"/>
    <cacheHierarchy uniqueName="[HR_Analytics].[EducationField]" caption="EducationField" attribute="1" defaultMemberUniqueName="[HR_Analytics].[EducationField].[All]" allUniqueName="[HR_Analytics].[EducationField].[All]" dimensionUniqueName="[HR_Analytics]" displayFolder="" count="0" memberValueDatatype="130" unbalanced="0"/>
    <cacheHierarchy uniqueName="[HR_Analytics].[EmployeeCount]" caption="EmployeeCount" attribute="1" defaultMemberUniqueName="[HR_Analytics].[EmployeeCount].[All]" allUniqueName="[HR_Analytics].[EmployeeCount].[All]" dimensionUniqueName="[HR_Analytics]" displayFolder="" count="0" memberValueDatatype="20" unbalanced="0"/>
    <cacheHierarchy uniqueName="[HR_Analytics].[EmployeeNumber]" caption="EmployeeNumber" attribute="1" defaultMemberUniqueName="[HR_Analytics].[EmployeeNumber].[All]" allUniqueName="[HR_Analytics].[EmployeeNumber].[All]" dimensionUniqueName="[HR_Analytics]" displayFolder="" count="0" memberValueDatatype="20" unbalanced="0"/>
    <cacheHierarchy uniqueName="[HR_Analytics].[EnvironmentSatisfaction]" caption="EnvironmentSatisfaction" attribute="1" defaultMemberUniqueName="[HR_Analytics].[EnvironmentSatisfaction].[All]" allUniqueName="[HR_Analytics].[EnvironmentSatisfaction].[All]" dimensionUniqueName="[HR_Analytics]" displayFolder="" count="0" memberValueDatatype="20" unbalanced="0"/>
    <cacheHierarchy uniqueName="[HR_Analytics].[Gender]" caption="Gender" attribute="1" defaultMemberUniqueName="[HR_Analytics].[Gender].[All]" allUniqueName="[HR_Analytics].[Gender].[All]" dimensionUniqueName="[HR_Analytics]" displayFolder="" count="0" memberValueDatatype="130" unbalanced="0"/>
    <cacheHierarchy uniqueName="[HR_Analytics].[HourlyRate]" caption="HourlyRate" attribute="1" defaultMemberUniqueName="[HR_Analytics].[HourlyRate].[All]" allUniqueName="[HR_Analytics].[HourlyRate].[All]" dimensionUniqueName="[HR_Analytics]" displayFolder="" count="0" memberValueDatatype="20" unbalanced="0"/>
    <cacheHierarchy uniqueName="[HR_Analytics].[JobInvolvement]" caption="JobInvolvement" attribute="1" defaultMemberUniqueName="[HR_Analytics].[JobInvolvement].[All]" allUniqueName="[HR_Analytics].[JobInvolvement].[All]" dimensionUniqueName="[HR_Analytics]" displayFolder="" count="0" memberValueDatatype="20" unbalanced="0"/>
    <cacheHierarchy uniqueName="[HR_Analytics].[JobLevel]" caption="JobLevel" attribute="1" defaultMemberUniqueName="[HR_Analytics].[JobLevel].[All]" allUniqueName="[HR_Analytics].[JobLevel].[All]" dimensionUniqueName="[HR_Analytics]" displayFolder="" count="0" memberValueDatatype="20" unbalanced="0"/>
    <cacheHierarchy uniqueName="[HR_Analytics].[JobRole]" caption="JobRole" attribute="1" defaultMemberUniqueName="[HR_Analytics].[JobRole].[All]" allUniqueName="[HR_Analytics].[JobRole].[All]" dimensionUniqueName="[HR_Analytics]" displayFolder="" count="0" memberValueDatatype="130" unbalanced="0"/>
    <cacheHierarchy uniqueName="[HR_Analytics].[JobSatisfaction]" caption="JobSatisfaction" attribute="1" defaultMemberUniqueName="[HR_Analytics].[JobSatisfaction].[All]" allUniqueName="[HR_Analytics].[JobSatisfaction].[All]" dimensionUniqueName="[HR_Analytics]" displayFolder="" count="0" memberValueDatatype="20" unbalanced="0"/>
    <cacheHierarchy uniqueName="[HR_Analytics].[MaritalStatus]" caption="MaritalStatus" attribute="1" defaultMemberUniqueName="[HR_Analytics].[MaritalStatus].[All]" allUniqueName="[HR_Analytics].[MaritalStatus].[All]" dimensionUniqueName="[HR_Analytics]" displayFolder="" count="0" memberValueDatatype="130" unbalanced="0"/>
    <cacheHierarchy uniqueName="[HR_Analytics].[MonthlyIncome]" caption="MonthlyIncome" attribute="1" defaultMemberUniqueName="[HR_Analytics].[MonthlyIncome].[All]" allUniqueName="[HR_Analytics].[MonthlyIncome].[All]" dimensionUniqueName="[HR_Analytics]" displayFolder="" count="0" memberValueDatatype="20" unbalanced="0"/>
    <cacheHierarchy uniqueName="[HR_Analytics].[SalarySlab]" caption="SalarySlab" attribute="1" defaultMemberUniqueName="[HR_Analytics].[SalarySlab].[All]" allUniqueName="[HR_Analytics].[SalarySlab].[All]" dimensionUniqueName="[HR_Analytics]" displayFolder="" count="2" memberValueDatatype="130" unbalanced="0"/>
    <cacheHierarchy uniqueName="[HR_Analytics].[MonthlyRate]" caption="MonthlyRate" attribute="1" defaultMemberUniqueName="[HR_Analytics].[MonthlyRate].[All]" allUniqueName="[HR_Analytics].[MonthlyRate].[All]" dimensionUniqueName="[HR_Analytics]" displayFolder="" count="0" memberValueDatatype="20" unbalanced="0"/>
    <cacheHierarchy uniqueName="[HR_Analytics].[NumCompaniesWorked]" caption="NumCompaniesWorked" attribute="1" defaultMemberUniqueName="[HR_Analytics].[NumCompaniesWorked].[All]" allUniqueName="[HR_Analytics].[NumCompaniesWorked].[All]" dimensionUniqueName="[HR_Analytics]" displayFolder="" count="0" memberValueDatatype="20" unbalanced="0"/>
    <cacheHierarchy uniqueName="[HR_Analytics].[Over18]" caption="Over18" attribute="1" defaultMemberUniqueName="[HR_Analytics].[Over18].[All]" allUniqueName="[HR_Analytics].[Over18].[All]" dimensionUniqueName="[HR_Analytics]" displayFolder="" count="0" memberValueDatatype="130" unbalanced="0"/>
    <cacheHierarchy uniqueName="[HR_Analytics].[OverTime]" caption="OverTime" attribute="1" defaultMemberUniqueName="[HR_Analytics].[OverTime].[All]" allUniqueName="[HR_Analytics].[OverTime].[All]" dimensionUniqueName="[HR_Analytics]" displayFolder="" count="0" memberValueDatatype="130" unbalanced="0"/>
    <cacheHierarchy uniqueName="[HR_Analytics].[PercentSalaryHike]" caption="PercentSalaryHike" attribute="1" defaultMemberUniqueName="[HR_Analytics].[PercentSalaryHike].[All]" allUniqueName="[HR_Analytics].[PercentSalaryHike].[All]" dimensionUniqueName="[HR_Analytics]" displayFolder="" count="0" memberValueDatatype="20" unbalanced="0"/>
    <cacheHierarchy uniqueName="[HR_Analytics].[PerformanceRating]" caption="PerformanceRating" attribute="1" defaultMemberUniqueName="[HR_Analytics].[PerformanceRating].[All]" allUniqueName="[HR_Analytics].[PerformanceRating].[All]" dimensionUniqueName="[HR_Analytics]" displayFolder="" count="0" memberValueDatatype="20" unbalanced="0"/>
    <cacheHierarchy uniqueName="[HR_Analytics].[RelationshipSatisfaction]" caption="RelationshipSatisfaction" attribute="1" defaultMemberUniqueName="[HR_Analytics].[RelationshipSatisfaction].[All]" allUniqueName="[HR_Analytics].[RelationshipSatisfaction].[All]" dimensionUniqueName="[HR_Analytics]" displayFolder="" count="0" memberValueDatatype="20" unbalanced="0"/>
    <cacheHierarchy uniqueName="[HR_Analytics].[StandardHours]" caption="StandardHours" attribute="1" defaultMemberUniqueName="[HR_Analytics].[StandardHours].[All]" allUniqueName="[HR_Analytics].[StandardHours].[All]" dimensionUniqueName="[HR_Analytics]" displayFolder="" count="0" memberValueDatatype="20" unbalanced="0"/>
    <cacheHierarchy uniqueName="[HR_Analytics].[StockOptionLevel]" caption="StockOptionLevel" attribute="1" defaultMemberUniqueName="[HR_Analytics].[StockOptionLevel].[All]" allUniqueName="[HR_Analytics].[StockOptionLevel].[All]" dimensionUniqueName="[HR_Analytics]" displayFolder="" count="0" memberValueDatatype="20" unbalanced="0"/>
    <cacheHierarchy uniqueName="[HR_Analytics].[TotalWorkingYears]" caption="TotalWorkingYears" attribute="1" defaultMemberUniqueName="[HR_Analytics].[TotalWorkingYears].[All]" allUniqueName="[HR_Analytics].[TotalWorkingYears].[All]" dimensionUniqueName="[HR_Analytics]" displayFolder="" count="0" memberValueDatatype="20" unbalanced="0"/>
    <cacheHierarchy uniqueName="[HR_Analytics].[TrainingTimesLastYear]" caption="TrainingTimesLastYear" attribute="1" defaultMemberUniqueName="[HR_Analytics].[TrainingTimesLastYear].[All]" allUniqueName="[HR_Analytics].[TrainingTimesLastYear].[All]" dimensionUniqueName="[HR_Analytics]" displayFolder="" count="0" memberValueDatatype="20" unbalanced="0"/>
    <cacheHierarchy uniqueName="[HR_Analytics].[WorkLifeBalance]" caption="WorkLifeBalance" attribute="1" defaultMemberUniqueName="[HR_Analytics].[WorkLifeBalance].[All]" allUniqueName="[HR_Analytics].[WorkLifeBalance].[All]" dimensionUniqueName="[HR_Analytics]" displayFolder="" count="0" memberValueDatatype="20" unbalanced="0"/>
    <cacheHierarchy uniqueName="[HR_Analytics].[YearsAtCompany]" caption="YearsAtCompany" attribute="1" defaultMemberUniqueName="[HR_Analytics].[YearsAtCompany].[All]" allUniqueName="[HR_Analytics].[YearsAtCompany].[All]" dimensionUniqueName="[HR_Analytics]" displayFolder="" count="0" memberValueDatatype="20" unbalanced="0"/>
    <cacheHierarchy uniqueName="[HR_Analytics].[YearsInCurrentRole]" caption="YearsInCurrentRole" attribute="1" defaultMemberUniqueName="[HR_Analytics].[YearsInCurrentRole].[All]" allUniqueName="[HR_Analytics].[YearsInCurrentRole].[All]" dimensionUniqueName="[HR_Analytics]" displayFolder="" count="0" memberValueDatatype="20" unbalanced="0"/>
    <cacheHierarchy uniqueName="[HR_Analytics].[YearsSinceLastPromotion]" caption="YearsSinceLastPromotion" attribute="1" defaultMemberUniqueName="[HR_Analytics].[YearsSinceLastPromotion].[All]" allUniqueName="[HR_Analytics].[YearsSinceLastPromotion].[All]" dimensionUniqueName="[HR_Analytics]" displayFolder="" count="0" memberValueDatatype="20" unbalanced="0"/>
    <cacheHierarchy uniqueName="[HR_Analytics].[YearsWithCurrManager]" caption="YearsWithCurrManager" attribute="1" defaultMemberUniqueName="[HR_Analytics].[YearsWithCurrManager].[All]" allUniqueName="[HR_Analytics].[YearsWithCurrManager].[All]" dimensionUniqueName="[HR_Analytics]" displayFolder="" count="0" memberValueDatatype="5" unbalanced="0"/>
    <cacheHierarchy uniqueName="[Table1].[Column]" caption="Column" attribute="1" defaultMemberUniqueName="[Table1].[Column].[All]" allUniqueName="[Table1].[Column].[All]" dimensionUniqueName="[Table1]" displayFolder="" count="0" memberValueDatatype="130" unbalanced="0"/>
    <cacheHierarchy uniqueName="[Table1].[المعنى بالعربي]" caption="المعنى بالعربي" attribute="1" defaultMemberUniqueName="[Table1].[المعنى بالعربي].[All]" allUniqueName="[Table1].[المعنى بالعربي].[All]" dimensionUniqueName="[Table1]" displayFolder="" count="0" memberValueDatatype="130" unbalanced="0"/>
    <cacheHierarchy uniqueName="[Measures].[Total Employess]" caption="Total Employess" measure="1" displayFolder="" measureGroup="HR_Analytics" count="0"/>
    <cacheHierarchy uniqueName="[Measures].[Attrition Rate]" caption="Attrition Rate" measure="1" displayFolder="" measureGroup="HR_Analytics" count="0"/>
    <cacheHierarchy uniqueName="[Measures].[Overtime Rate]" caption="Overtime Rate" measure="1" displayFolder="" measureGroup="HR_Analytics" count="0"/>
    <cacheHierarchy uniqueName="[Measures].[Stasfaction Score]" caption="Stasfaction Score" measure="1" displayFolder="" measureGroup="HR_Analytics" count="0"/>
    <cacheHierarchy uniqueName="[Measures].[Monthly Income]" caption="Monthly Income" measure="1" displayFolder="" measureGroup="HR_Analytics" count="0"/>
    <cacheHierarchy uniqueName="[Measures].[Avg Age]" caption="Avg Age" measure="1" displayFolder="" measureGroup="HR_Analytics" count="0"/>
    <cacheHierarchy uniqueName="[Measures].[Avg Tenure]" caption="Avg Tenure" measure="1" displayFolder="" measureGroup="HR_Analytics" count="0" oneField="1">
      <fieldsUsage count="1">
        <fieldUsage x="0"/>
      </fieldsUsage>
    </cacheHierarchy>
    <cacheHierarchy uniqueName="[Measures].[Avg Env Sat]" caption="Avg Env Sat" measure="1" displayFolder="" measureGroup="HR_Analytics" count="0"/>
    <cacheHierarchy uniqueName="[Measures].[Avg WLB]" caption="Avg WLB" measure="1" displayFolder="" measureGroup="HR_Analytics" count="0"/>
    <cacheHierarchy uniqueName="[Measures].[__XL_Count Table1]" caption="__XL_Count Table1" measure="1" displayFolder="" measureGroup="Table1" count="0" hidden="1"/>
    <cacheHierarchy uniqueName="[Measures].[__XL_Count HR_Analytics]" caption="__XL_Count HR_Analytics" measure="1" displayFolder="" measureGroup="HR_Analytics" count="0" hidden="1"/>
    <cacheHierarchy uniqueName="[Measures].[__No measures defined]" caption="__No measures defined" measure="1" displayFolder="" count="0" hidden="1"/>
    <cacheHierarchy uniqueName="[Measures].[Sum of Age]" caption="Sum of Age" measure="1" displayFolder="" measureGroup="HR_Analytics" count="0" hidden="1">
      <extLst>
        <ext xmlns:x15="http://schemas.microsoft.com/office/spreadsheetml/2010/11/main" uri="{B97F6D7D-B522-45F9-BDA1-12C45D357490}">
          <x15:cacheHierarchy aggregatedColumn="1"/>
        </ext>
      </extLst>
    </cacheHierarchy>
    <cacheHierarchy uniqueName="[Measures].[Count of Attrition]" caption="Count of Attrition" measure="1" displayFolder="" measureGroup="HR_Analytics" count="0" hidden="1">
      <extLst>
        <ext xmlns:x15="http://schemas.microsoft.com/office/spreadsheetml/2010/11/main" uri="{B97F6D7D-B522-45F9-BDA1-12C45D357490}">
          <x15:cacheHierarchy aggregatedColumn="3"/>
        </ext>
      </extLst>
    </cacheHierarchy>
    <cacheHierarchy uniqueName="[Measures].[Count of OverTime]" caption="Count of OverTime" measure="1" displayFolder="" measureGroup="HR_Analytics" count="0" hidden="1">
      <extLst>
        <ext xmlns:x15="http://schemas.microsoft.com/office/spreadsheetml/2010/11/main" uri="{B97F6D7D-B522-45F9-BDA1-12C45D357490}">
          <x15:cacheHierarchy aggregatedColumn="25"/>
        </ext>
      </extLst>
    </cacheHierarchy>
    <cacheHierarchy uniqueName="[Measures].[Count of Department]" caption="Count of Department" measure="1" displayFolder="" measureGroup="HR_Analytics" count="0" hidden="1">
      <extLst>
        <ext xmlns:x15="http://schemas.microsoft.com/office/spreadsheetml/2010/11/main" uri="{B97F6D7D-B522-45F9-BDA1-12C45D357490}">
          <x15:cacheHierarchy aggregatedColumn="6"/>
        </ext>
      </extLst>
    </cacheHierarchy>
  </cacheHierarchies>
  <kpis count="0"/>
  <dimensions count="3">
    <dimension name="HR_Analytics" uniqueName="[HR_Analytics]" caption="HR_Analytics"/>
    <dimension measure="1" name="Measures" uniqueName="[Measures]" caption="Measures"/>
    <dimension name="Table1" uniqueName="[Table1]" caption="Table1"/>
  </dimensions>
  <measureGroups count="2">
    <measureGroup name="HR_Analytics" caption="HR_Analytics"/>
    <measureGroup name="Table1" caption="Table1"/>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323.833599305559" backgroundQuery="1" createdVersion="8" refreshedVersion="8" minRefreshableVersion="3" recordCount="0" supportSubquery="1" supportAdvancedDrill="1" xr:uid="{F0AA07FF-9812-4BB9-938A-616A9D185898}">
  <cacheSource type="external" connectionId="2"/>
  <cacheFields count="2">
    <cacheField name="[Measures].[Avg Env Sat]" caption="Avg Env Sat" numFmtId="0" hierarchy="47" level="32767"/>
    <cacheField name="[HR_Analytics].[Department].[Department]" caption="Department" numFmtId="0" hierarchy="6" level="1">
      <sharedItems containsSemiMixedTypes="0" containsNonDate="0" containsString="0"/>
    </cacheField>
  </cacheFields>
  <cacheHierarchies count="56">
    <cacheHierarchy uniqueName="[HR_Analytics].[EmpID]" caption="EmpID" attribute="1" defaultMemberUniqueName="[HR_Analytics].[EmpID].[All]" allUniqueName="[HR_Analytics].[EmpID].[All]" dimensionUniqueName="[HR_Analytics]" displayFolder="" count="0" memberValueDatatype="130" unbalanced="0"/>
    <cacheHierarchy uniqueName="[HR_Analytics].[Age]" caption="Age" attribute="1" defaultMemberUniqueName="[HR_Analytics].[Age].[All]" allUniqueName="[HR_Analytics].[Age].[All]" dimensionUniqueName="[HR_Analytics]" displayFolder="" count="0" memberValueDatatype="20" unbalanced="0"/>
    <cacheHierarchy uniqueName="[HR_Analytics].[AgeGroup]" caption="AgeGroup" attribute="1" defaultMemberUniqueName="[HR_Analytics].[AgeGroup].[All]" allUniqueName="[HR_Analytics].[AgeGroup].[All]" dimensionUniqueName="[HR_Analytics]" displayFolder="" count="0" memberValueDatatype="130" unbalanced="0"/>
    <cacheHierarchy uniqueName="[HR_Analytics].[Attrition]" caption="Attrition" attribute="1" defaultMemberUniqueName="[HR_Analytics].[Attrition].[All]" allUniqueName="[HR_Analytics].[Attrition].[All]" dimensionUniqueName="[HR_Analytics]" displayFolder="" count="0" memberValueDatatype="130" unbalanced="0"/>
    <cacheHierarchy uniqueName="[HR_Analytics].[BusinessTravel]" caption="BusinessTravel" attribute="1" defaultMemberUniqueName="[HR_Analytics].[BusinessTravel].[All]" allUniqueName="[HR_Analytics].[BusinessTravel].[All]" dimensionUniqueName="[HR_Analytics]" displayFolder="" count="0" memberValueDatatype="130" unbalanced="0"/>
    <cacheHierarchy uniqueName="[HR_Analytics].[DailyRate]" caption="DailyRate" attribute="1" defaultMemberUniqueName="[HR_Analytics].[DailyRate].[All]" allUniqueName="[HR_Analytics].[DailyRate].[All]" dimensionUniqueName="[HR_Analytics]" displayFolder="" count="0" memberValueDatatype="20" unbalanced="0"/>
    <cacheHierarchy uniqueName="[HR_Analytics].[Department]" caption="Department" attribute="1" defaultMemberUniqueName="[HR_Analytics].[Department].[All]" allUniqueName="[HR_Analytics].[Department].[All]" dimensionUniqueName="[HR_Analytics]" displayFolder="" count="2" memberValueDatatype="130" unbalanced="0">
      <fieldsUsage count="2">
        <fieldUsage x="-1"/>
        <fieldUsage x="1"/>
      </fieldsUsage>
    </cacheHierarchy>
    <cacheHierarchy uniqueName="[HR_Analytics].[DistanceFromHome]" caption="DistanceFromHome" attribute="1" defaultMemberUniqueName="[HR_Analytics].[DistanceFromHome].[All]" allUniqueName="[HR_Analytics].[DistanceFromHome].[All]" dimensionUniqueName="[HR_Analytics]" displayFolder="" count="0" memberValueDatatype="20" unbalanced="0"/>
    <cacheHierarchy uniqueName="[HR_Analytics].[Education]" caption="Education" attribute="1" defaultMemberUniqueName="[HR_Analytics].[Education].[All]" allUniqueName="[HR_Analytics].[Education].[All]" dimensionUniqueName="[HR_Analytics]" displayFolder="" count="0" memberValueDatatype="20" unbalanced="0"/>
    <cacheHierarchy uniqueName="[HR_Analytics].[EducationField]" caption="EducationField" attribute="1" defaultMemberUniqueName="[HR_Analytics].[EducationField].[All]" allUniqueName="[HR_Analytics].[EducationField].[All]" dimensionUniqueName="[HR_Analytics]" displayFolder="" count="0" memberValueDatatype="130" unbalanced="0"/>
    <cacheHierarchy uniqueName="[HR_Analytics].[EmployeeCount]" caption="EmployeeCount" attribute="1" defaultMemberUniqueName="[HR_Analytics].[EmployeeCount].[All]" allUniqueName="[HR_Analytics].[EmployeeCount].[All]" dimensionUniqueName="[HR_Analytics]" displayFolder="" count="0" memberValueDatatype="20" unbalanced="0"/>
    <cacheHierarchy uniqueName="[HR_Analytics].[EmployeeNumber]" caption="EmployeeNumber" attribute="1" defaultMemberUniqueName="[HR_Analytics].[EmployeeNumber].[All]" allUniqueName="[HR_Analytics].[EmployeeNumber].[All]" dimensionUniqueName="[HR_Analytics]" displayFolder="" count="0" memberValueDatatype="20" unbalanced="0"/>
    <cacheHierarchy uniqueName="[HR_Analytics].[EnvironmentSatisfaction]" caption="EnvironmentSatisfaction" attribute="1" defaultMemberUniqueName="[HR_Analytics].[EnvironmentSatisfaction].[All]" allUniqueName="[HR_Analytics].[EnvironmentSatisfaction].[All]" dimensionUniqueName="[HR_Analytics]" displayFolder="" count="0" memberValueDatatype="20" unbalanced="0"/>
    <cacheHierarchy uniqueName="[HR_Analytics].[Gender]" caption="Gender" attribute="1" defaultMemberUniqueName="[HR_Analytics].[Gender].[All]" allUniqueName="[HR_Analytics].[Gender].[All]" dimensionUniqueName="[HR_Analytics]" displayFolder="" count="0" memberValueDatatype="130" unbalanced="0"/>
    <cacheHierarchy uniqueName="[HR_Analytics].[HourlyRate]" caption="HourlyRate" attribute="1" defaultMemberUniqueName="[HR_Analytics].[HourlyRate].[All]" allUniqueName="[HR_Analytics].[HourlyRate].[All]" dimensionUniqueName="[HR_Analytics]" displayFolder="" count="0" memberValueDatatype="20" unbalanced="0"/>
    <cacheHierarchy uniqueName="[HR_Analytics].[JobInvolvement]" caption="JobInvolvement" attribute="1" defaultMemberUniqueName="[HR_Analytics].[JobInvolvement].[All]" allUniqueName="[HR_Analytics].[JobInvolvement].[All]" dimensionUniqueName="[HR_Analytics]" displayFolder="" count="0" memberValueDatatype="20" unbalanced="0"/>
    <cacheHierarchy uniqueName="[HR_Analytics].[JobLevel]" caption="JobLevel" attribute="1" defaultMemberUniqueName="[HR_Analytics].[JobLevel].[All]" allUniqueName="[HR_Analytics].[JobLevel].[All]" dimensionUniqueName="[HR_Analytics]" displayFolder="" count="0" memberValueDatatype="20" unbalanced="0"/>
    <cacheHierarchy uniqueName="[HR_Analytics].[JobRole]" caption="JobRole" attribute="1" defaultMemberUniqueName="[HR_Analytics].[JobRole].[All]" allUniqueName="[HR_Analytics].[JobRole].[All]" dimensionUniqueName="[HR_Analytics]" displayFolder="" count="0" memberValueDatatype="130" unbalanced="0"/>
    <cacheHierarchy uniqueName="[HR_Analytics].[JobSatisfaction]" caption="JobSatisfaction" attribute="1" defaultMemberUniqueName="[HR_Analytics].[JobSatisfaction].[All]" allUniqueName="[HR_Analytics].[JobSatisfaction].[All]" dimensionUniqueName="[HR_Analytics]" displayFolder="" count="0" memberValueDatatype="20" unbalanced="0"/>
    <cacheHierarchy uniqueName="[HR_Analytics].[MaritalStatus]" caption="MaritalStatus" attribute="1" defaultMemberUniqueName="[HR_Analytics].[MaritalStatus].[All]" allUniqueName="[HR_Analytics].[MaritalStatus].[All]" dimensionUniqueName="[HR_Analytics]" displayFolder="" count="0" memberValueDatatype="130" unbalanced="0"/>
    <cacheHierarchy uniqueName="[HR_Analytics].[MonthlyIncome]" caption="MonthlyIncome" attribute="1" defaultMemberUniqueName="[HR_Analytics].[MonthlyIncome].[All]" allUniqueName="[HR_Analytics].[MonthlyIncome].[All]" dimensionUniqueName="[HR_Analytics]" displayFolder="" count="0" memberValueDatatype="20" unbalanced="0"/>
    <cacheHierarchy uniqueName="[HR_Analytics].[SalarySlab]" caption="SalarySlab" attribute="1" defaultMemberUniqueName="[HR_Analytics].[SalarySlab].[All]" allUniqueName="[HR_Analytics].[SalarySlab].[All]" dimensionUniqueName="[HR_Analytics]" displayFolder="" count="2" memberValueDatatype="130" unbalanced="0"/>
    <cacheHierarchy uniqueName="[HR_Analytics].[MonthlyRate]" caption="MonthlyRate" attribute="1" defaultMemberUniqueName="[HR_Analytics].[MonthlyRate].[All]" allUniqueName="[HR_Analytics].[MonthlyRate].[All]" dimensionUniqueName="[HR_Analytics]" displayFolder="" count="0" memberValueDatatype="20" unbalanced="0"/>
    <cacheHierarchy uniqueName="[HR_Analytics].[NumCompaniesWorked]" caption="NumCompaniesWorked" attribute="1" defaultMemberUniqueName="[HR_Analytics].[NumCompaniesWorked].[All]" allUniqueName="[HR_Analytics].[NumCompaniesWorked].[All]" dimensionUniqueName="[HR_Analytics]" displayFolder="" count="0" memberValueDatatype="20" unbalanced="0"/>
    <cacheHierarchy uniqueName="[HR_Analytics].[Over18]" caption="Over18" attribute="1" defaultMemberUniqueName="[HR_Analytics].[Over18].[All]" allUniqueName="[HR_Analytics].[Over18].[All]" dimensionUniqueName="[HR_Analytics]" displayFolder="" count="0" memberValueDatatype="130" unbalanced="0"/>
    <cacheHierarchy uniqueName="[HR_Analytics].[OverTime]" caption="OverTime" attribute="1" defaultMemberUniqueName="[HR_Analytics].[OverTime].[All]" allUniqueName="[HR_Analytics].[OverTime].[All]" dimensionUniqueName="[HR_Analytics]" displayFolder="" count="0" memberValueDatatype="130" unbalanced="0"/>
    <cacheHierarchy uniqueName="[HR_Analytics].[PercentSalaryHike]" caption="PercentSalaryHike" attribute="1" defaultMemberUniqueName="[HR_Analytics].[PercentSalaryHike].[All]" allUniqueName="[HR_Analytics].[PercentSalaryHike].[All]" dimensionUniqueName="[HR_Analytics]" displayFolder="" count="0" memberValueDatatype="20" unbalanced="0"/>
    <cacheHierarchy uniqueName="[HR_Analytics].[PerformanceRating]" caption="PerformanceRating" attribute="1" defaultMemberUniqueName="[HR_Analytics].[PerformanceRating].[All]" allUniqueName="[HR_Analytics].[PerformanceRating].[All]" dimensionUniqueName="[HR_Analytics]" displayFolder="" count="0" memberValueDatatype="20" unbalanced="0"/>
    <cacheHierarchy uniqueName="[HR_Analytics].[RelationshipSatisfaction]" caption="RelationshipSatisfaction" attribute="1" defaultMemberUniqueName="[HR_Analytics].[RelationshipSatisfaction].[All]" allUniqueName="[HR_Analytics].[RelationshipSatisfaction].[All]" dimensionUniqueName="[HR_Analytics]" displayFolder="" count="0" memberValueDatatype="20" unbalanced="0"/>
    <cacheHierarchy uniqueName="[HR_Analytics].[StandardHours]" caption="StandardHours" attribute="1" defaultMemberUniqueName="[HR_Analytics].[StandardHours].[All]" allUniqueName="[HR_Analytics].[StandardHours].[All]" dimensionUniqueName="[HR_Analytics]" displayFolder="" count="0" memberValueDatatype="20" unbalanced="0"/>
    <cacheHierarchy uniqueName="[HR_Analytics].[StockOptionLevel]" caption="StockOptionLevel" attribute="1" defaultMemberUniqueName="[HR_Analytics].[StockOptionLevel].[All]" allUniqueName="[HR_Analytics].[StockOptionLevel].[All]" dimensionUniqueName="[HR_Analytics]" displayFolder="" count="0" memberValueDatatype="20" unbalanced="0"/>
    <cacheHierarchy uniqueName="[HR_Analytics].[TotalWorkingYears]" caption="TotalWorkingYears" attribute="1" defaultMemberUniqueName="[HR_Analytics].[TotalWorkingYears].[All]" allUniqueName="[HR_Analytics].[TotalWorkingYears].[All]" dimensionUniqueName="[HR_Analytics]" displayFolder="" count="0" memberValueDatatype="20" unbalanced="0"/>
    <cacheHierarchy uniqueName="[HR_Analytics].[TrainingTimesLastYear]" caption="TrainingTimesLastYear" attribute="1" defaultMemberUniqueName="[HR_Analytics].[TrainingTimesLastYear].[All]" allUniqueName="[HR_Analytics].[TrainingTimesLastYear].[All]" dimensionUniqueName="[HR_Analytics]" displayFolder="" count="0" memberValueDatatype="20" unbalanced="0"/>
    <cacheHierarchy uniqueName="[HR_Analytics].[WorkLifeBalance]" caption="WorkLifeBalance" attribute="1" defaultMemberUniqueName="[HR_Analytics].[WorkLifeBalance].[All]" allUniqueName="[HR_Analytics].[WorkLifeBalance].[All]" dimensionUniqueName="[HR_Analytics]" displayFolder="" count="0" memberValueDatatype="20" unbalanced="0"/>
    <cacheHierarchy uniqueName="[HR_Analytics].[YearsAtCompany]" caption="YearsAtCompany" attribute="1" defaultMemberUniqueName="[HR_Analytics].[YearsAtCompany].[All]" allUniqueName="[HR_Analytics].[YearsAtCompany].[All]" dimensionUniqueName="[HR_Analytics]" displayFolder="" count="0" memberValueDatatype="20" unbalanced="0"/>
    <cacheHierarchy uniqueName="[HR_Analytics].[YearsInCurrentRole]" caption="YearsInCurrentRole" attribute="1" defaultMemberUniqueName="[HR_Analytics].[YearsInCurrentRole].[All]" allUniqueName="[HR_Analytics].[YearsInCurrentRole].[All]" dimensionUniqueName="[HR_Analytics]" displayFolder="" count="0" memberValueDatatype="20" unbalanced="0"/>
    <cacheHierarchy uniqueName="[HR_Analytics].[YearsSinceLastPromotion]" caption="YearsSinceLastPromotion" attribute="1" defaultMemberUniqueName="[HR_Analytics].[YearsSinceLastPromotion].[All]" allUniqueName="[HR_Analytics].[YearsSinceLastPromotion].[All]" dimensionUniqueName="[HR_Analytics]" displayFolder="" count="0" memberValueDatatype="20" unbalanced="0"/>
    <cacheHierarchy uniqueName="[HR_Analytics].[YearsWithCurrManager]" caption="YearsWithCurrManager" attribute="1" defaultMemberUniqueName="[HR_Analytics].[YearsWithCurrManager].[All]" allUniqueName="[HR_Analytics].[YearsWithCurrManager].[All]" dimensionUniqueName="[HR_Analytics]" displayFolder="" count="0" memberValueDatatype="5" unbalanced="0"/>
    <cacheHierarchy uniqueName="[Table1].[Column]" caption="Column" attribute="1" defaultMemberUniqueName="[Table1].[Column].[All]" allUniqueName="[Table1].[Column].[All]" dimensionUniqueName="[Table1]" displayFolder="" count="0" memberValueDatatype="130" unbalanced="0"/>
    <cacheHierarchy uniqueName="[Table1].[المعنى بالعربي]" caption="المعنى بالعربي" attribute="1" defaultMemberUniqueName="[Table1].[المعنى بالعربي].[All]" allUniqueName="[Table1].[المعنى بالعربي].[All]" dimensionUniqueName="[Table1]" displayFolder="" count="0" memberValueDatatype="130" unbalanced="0"/>
    <cacheHierarchy uniqueName="[Measures].[Total Employess]" caption="Total Employess" measure="1" displayFolder="" measureGroup="HR_Analytics" count="0"/>
    <cacheHierarchy uniqueName="[Measures].[Attrition Rate]" caption="Attrition Rate" measure="1" displayFolder="" measureGroup="HR_Analytics" count="0"/>
    <cacheHierarchy uniqueName="[Measures].[Overtime Rate]" caption="Overtime Rate" measure="1" displayFolder="" measureGroup="HR_Analytics" count="0"/>
    <cacheHierarchy uniqueName="[Measures].[Stasfaction Score]" caption="Stasfaction Score" measure="1" displayFolder="" measureGroup="HR_Analytics" count="0"/>
    <cacheHierarchy uniqueName="[Measures].[Monthly Income]" caption="Monthly Income" measure="1" displayFolder="" measureGroup="HR_Analytics" count="0"/>
    <cacheHierarchy uniqueName="[Measures].[Avg Age]" caption="Avg Age" measure="1" displayFolder="" measureGroup="HR_Analytics" count="0"/>
    <cacheHierarchy uniqueName="[Measures].[Avg Tenure]" caption="Avg Tenure" measure="1" displayFolder="" measureGroup="HR_Analytics" count="0"/>
    <cacheHierarchy uniqueName="[Measures].[Avg Env Sat]" caption="Avg Env Sat" measure="1" displayFolder="" measureGroup="HR_Analytics" count="0" oneField="1">
      <fieldsUsage count="1">
        <fieldUsage x="0"/>
      </fieldsUsage>
    </cacheHierarchy>
    <cacheHierarchy uniqueName="[Measures].[Avg WLB]" caption="Avg WLB" measure="1" displayFolder="" measureGroup="HR_Analytics" count="0"/>
    <cacheHierarchy uniqueName="[Measures].[__XL_Count Table1]" caption="__XL_Count Table1" measure="1" displayFolder="" measureGroup="Table1" count="0" hidden="1"/>
    <cacheHierarchy uniqueName="[Measures].[__XL_Count HR_Analytics]" caption="__XL_Count HR_Analytics" measure="1" displayFolder="" measureGroup="HR_Analytics" count="0" hidden="1"/>
    <cacheHierarchy uniqueName="[Measures].[__No measures defined]" caption="__No measures defined" measure="1" displayFolder="" count="0" hidden="1"/>
    <cacheHierarchy uniqueName="[Measures].[Sum of Age]" caption="Sum of Age" measure="1" displayFolder="" measureGroup="HR_Analytics" count="0" hidden="1">
      <extLst>
        <ext xmlns:x15="http://schemas.microsoft.com/office/spreadsheetml/2010/11/main" uri="{B97F6D7D-B522-45F9-BDA1-12C45D357490}">
          <x15:cacheHierarchy aggregatedColumn="1"/>
        </ext>
      </extLst>
    </cacheHierarchy>
    <cacheHierarchy uniqueName="[Measures].[Count of Attrition]" caption="Count of Attrition" measure="1" displayFolder="" measureGroup="HR_Analytics" count="0" hidden="1">
      <extLst>
        <ext xmlns:x15="http://schemas.microsoft.com/office/spreadsheetml/2010/11/main" uri="{B97F6D7D-B522-45F9-BDA1-12C45D357490}">
          <x15:cacheHierarchy aggregatedColumn="3"/>
        </ext>
      </extLst>
    </cacheHierarchy>
    <cacheHierarchy uniqueName="[Measures].[Count of OverTime]" caption="Count of OverTime" measure="1" displayFolder="" measureGroup="HR_Analytics" count="0" hidden="1">
      <extLst>
        <ext xmlns:x15="http://schemas.microsoft.com/office/spreadsheetml/2010/11/main" uri="{B97F6D7D-B522-45F9-BDA1-12C45D357490}">
          <x15:cacheHierarchy aggregatedColumn="25"/>
        </ext>
      </extLst>
    </cacheHierarchy>
    <cacheHierarchy uniqueName="[Measures].[Count of Department]" caption="Count of Department" measure="1" displayFolder="" measureGroup="HR_Analytics" count="0" hidden="1">
      <extLst>
        <ext xmlns:x15="http://schemas.microsoft.com/office/spreadsheetml/2010/11/main" uri="{B97F6D7D-B522-45F9-BDA1-12C45D357490}">
          <x15:cacheHierarchy aggregatedColumn="6"/>
        </ext>
      </extLst>
    </cacheHierarchy>
  </cacheHierarchies>
  <kpis count="0"/>
  <dimensions count="3">
    <dimension name="HR_Analytics" uniqueName="[HR_Analytics]" caption="HR_Analytics"/>
    <dimension measure="1" name="Measures" uniqueName="[Measures]" caption="Measures"/>
    <dimension name="Table1" uniqueName="[Table1]" caption="Table1"/>
  </dimensions>
  <measureGroups count="2">
    <measureGroup name="HR_Analytics" caption="HR_Analytics"/>
    <measureGroup name="Table1" caption="Table1"/>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323.833599537036" backgroundQuery="1" createdVersion="8" refreshedVersion="8" minRefreshableVersion="3" recordCount="0" supportSubquery="1" supportAdvancedDrill="1" xr:uid="{09B76919-04A0-40AC-8A64-D604BC12350C}">
  <cacheSource type="external" connectionId="2"/>
  <cacheFields count="2">
    <cacheField name="[Measures].[Avg WLB]" caption="Avg WLB" numFmtId="0" hierarchy="48" level="32767"/>
    <cacheField name="[HR_Analytics].[Department].[Department]" caption="Department" numFmtId="0" hierarchy="6" level="1">
      <sharedItems containsSemiMixedTypes="0" containsNonDate="0" containsString="0"/>
    </cacheField>
  </cacheFields>
  <cacheHierarchies count="56">
    <cacheHierarchy uniqueName="[HR_Analytics].[EmpID]" caption="EmpID" attribute="1" defaultMemberUniqueName="[HR_Analytics].[EmpID].[All]" allUniqueName="[HR_Analytics].[EmpID].[All]" dimensionUniqueName="[HR_Analytics]" displayFolder="" count="0" memberValueDatatype="130" unbalanced="0"/>
    <cacheHierarchy uniqueName="[HR_Analytics].[Age]" caption="Age" attribute="1" defaultMemberUniqueName="[HR_Analytics].[Age].[All]" allUniqueName="[HR_Analytics].[Age].[All]" dimensionUniqueName="[HR_Analytics]" displayFolder="" count="0" memberValueDatatype="20" unbalanced="0"/>
    <cacheHierarchy uniqueName="[HR_Analytics].[AgeGroup]" caption="AgeGroup" attribute="1" defaultMemberUniqueName="[HR_Analytics].[AgeGroup].[All]" allUniqueName="[HR_Analytics].[AgeGroup].[All]" dimensionUniqueName="[HR_Analytics]" displayFolder="" count="0" memberValueDatatype="130" unbalanced="0"/>
    <cacheHierarchy uniqueName="[HR_Analytics].[Attrition]" caption="Attrition" attribute="1" defaultMemberUniqueName="[HR_Analytics].[Attrition].[All]" allUniqueName="[HR_Analytics].[Attrition].[All]" dimensionUniqueName="[HR_Analytics]" displayFolder="" count="0" memberValueDatatype="130" unbalanced="0"/>
    <cacheHierarchy uniqueName="[HR_Analytics].[BusinessTravel]" caption="BusinessTravel" attribute="1" defaultMemberUniqueName="[HR_Analytics].[BusinessTravel].[All]" allUniqueName="[HR_Analytics].[BusinessTravel].[All]" dimensionUniqueName="[HR_Analytics]" displayFolder="" count="0" memberValueDatatype="130" unbalanced="0"/>
    <cacheHierarchy uniqueName="[HR_Analytics].[DailyRate]" caption="DailyRate" attribute="1" defaultMemberUniqueName="[HR_Analytics].[DailyRate].[All]" allUniqueName="[HR_Analytics].[DailyRate].[All]" dimensionUniqueName="[HR_Analytics]" displayFolder="" count="0" memberValueDatatype="20" unbalanced="0"/>
    <cacheHierarchy uniqueName="[HR_Analytics].[Department]" caption="Department" attribute="1" defaultMemberUniqueName="[HR_Analytics].[Department].[All]" allUniqueName="[HR_Analytics].[Department].[All]" dimensionUniqueName="[HR_Analytics]" displayFolder="" count="2" memberValueDatatype="130" unbalanced="0">
      <fieldsUsage count="2">
        <fieldUsage x="-1"/>
        <fieldUsage x="1"/>
      </fieldsUsage>
    </cacheHierarchy>
    <cacheHierarchy uniqueName="[HR_Analytics].[DistanceFromHome]" caption="DistanceFromHome" attribute="1" defaultMemberUniqueName="[HR_Analytics].[DistanceFromHome].[All]" allUniqueName="[HR_Analytics].[DistanceFromHome].[All]" dimensionUniqueName="[HR_Analytics]" displayFolder="" count="0" memberValueDatatype="20" unbalanced="0"/>
    <cacheHierarchy uniqueName="[HR_Analytics].[Education]" caption="Education" attribute="1" defaultMemberUniqueName="[HR_Analytics].[Education].[All]" allUniqueName="[HR_Analytics].[Education].[All]" dimensionUniqueName="[HR_Analytics]" displayFolder="" count="0" memberValueDatatype="20" unbalanced="0"/>
    <cacheHierarchy uniqueName="[HR_Analytics].[EducationField]" caption="EducationField" attribute="1" defaultMemberUniqueName="[HR_Analytics].[EducationField].[All]" allUniqueName="[HR_Analytics].[EducationField].[All]" dimensionUniqueName="[HR_Analytics]" displayFolder="" count="0" memberValueDatatype="130" unbalanced="0"/>
    <cacheHierarchy uniqueName="[HR_Analytics].[EmployeeCount]" caption="EmployeeCount" attribute="1" defaultMemberUniqueName="[HR_Analytics].[EmployeeCount].[All]" allUniqueName="[HR_Analytics].[EmployeeCount].[All]" dimensionUniqueName="[HR_Analytics]" displayFolder="" count="0" memberValueDatatype="20" unbalanced="0"/>
    <cacheHierarchy uniqueName="[HR_Analytics].[EmployeeNumber]" caption="EmployeeNumber" attribute="1" defaultMemberUniqueName="[HR_Analytics].[EmployeeNumber].[All]" allUniqueName="[HR_Analytics].[EmployeeNumber].[All]" dimensionUniqueName="[HR_Analytics]" displayFolder="" count="0" memberValueDatatype="20" unbalanced="0"/>
    <cacheHierarchy uniqueName="[HR_Analytics].[EnvironmentSatisfaction]" caption="EnvironmentSatisfaction" attribute="1" defaultMemberUniqueName="[HR_Analytics].[EnvironmentSatisfaction].[All]" allUniqueName="[HR_Analytics].[EnvironmentSatisfaction].[All]" dimensionUniqueName="[HR_Analytics]" displayFolder="" count="0" memberValueDatatype="20" unbalanced="0"/>
    <cacheHierarchy uniqueName="[HR_Analytics].[Gender]" caption="Gender" attribute="1" defaultMemberUniqueName="[HR_Analytics].[Gender].[All]" allUniqueName="[HR_Analytics].[Gender].[All]" dimensionUniqueName="[HR_Analytics]" displayFolder="" count="0" memberValueDatatype="130" unbalanced="0"/>
    <cacheHierarchy uniqueName="[HR_Analytics].[HourlyRate]" caption="HourlyRate" attribute="1" defaultMemberUniqueName="[HR_Analytics].[HourlyRate].[All]" allUniqueName="[HR_Analytics].[HourlyRate].[All]" dimensionUniqueName="[HR_Analytics]" displayFolder="" count="0" memberValueDatatype="20" unbalanced="0"/>
    <cacheHierarchy uniqueName="[HR_Analytics].[JobInvolvement]" caption="JobInvolvement" attribute="1" defaultMemberUniqueName="[HR_Analytics].[JobInvolvement].[All]" allUniqueName="[HR_Analytics].[JobInvolvement].[All]" dimensionUniqueName="[HR_Analytics]" displayFolder="" count="0" memberValueDatatype="20" unbalanced="0"/>
    <cacheHierarchy uniqueName="[HR_Analytics].[JobLevel]" caption="JobLevel" attribute="1" defaultMemberUniqueName="[HR_Analytics].[JobLevel].[All]" allUniqueName="[HR_Analytics].[JobLevel].[All]" dimensionUniqueName="[HR_Analytics]" displayFolder="" count="0" memberValueDatatype="20" unbalanced="0"/>
    <cacheHierarchy uniqueName="[HR_Analytics].[JobRole]" caption="JobRole" attribute="1" defaultMemberUniqueName="[HR_Analytics].[JobRole].[All]" allUniqueName="[HR_Analytics].[JobRole].[All]" dimensionUniqueName="[HR_Analytics]" displayFolder="" count="0" memberValueDatatype="130" unbalanced="0"/>
    <cacheHierarchy uniqueName="[HR_Analytics].[JobSatisfaction]" caption="JobSatisfaction" attribute="1" defaultMemberUniqueName="[HR_Analytics].[JobSatisfaction].[All]" allUniqueName="[HR_Analytics].[JobSatisfaction].[All]" dimensionUniqueName="[HR_Analytics]" displayFolder="" count="0" memberValueDatatype="20" unbalanced="0"/>
    <cacheHierarchy uniqueName="[HR_Analytics].[MaritalStatus]" caption="MaritalStatus" attribute="1" defaultMemberUniqueName="[HR_Analytics].[MaritalStatus].[All]" allUniqueName="[HR_Analytics].[MaritalStatus].[All]" dimensionUniqueName="[HR_Analytics]" displayFolder="" count="0" memberValueDatatype="130" unbalanced="0"/>
    <cacheHierarchy uniqueName="[HR_Analytics].[MonthlyIncome]" caption="MonthlyIncome" attribute="1" defaultMemberUniqueName="[HR_Analytics].[MonthlyIncome].[All]" allUniqueName="[HR_Analytics].[MonthlyIncome].[All]" dimensionUniqueName="[HR_Analytics]" displayFolder="" count="0" memberValueDatatype="20" unbalanced="0"/>
    <cacheHierarchy uniqueName="[HR_Analytics].[SalarySlab]" caption="SalarySlab" attribute="1" defaultMemberUniqueName="[HR_Analytics].[SalarySlab].[All]" allUniqueName="[HR_Analytics].[SalarySlab].[All]" dimensionUniqueName="[HR_Analytics]" displayFolder="" count="2" memberValueDatatype="130" unbalanced="0"/>
    <cacheHierarchy uniqueName="[HR_Analytics].[MonthlyRate]" caption="MonthlyRate" attribute="1" defaultMemberUniqueName="[HR_Analytics].[MonthlyRate].[All]" allUniqueName="[HR_Analytics].[MonthlyRate].[All]" dimensionUniqueName="[HR_Analytics]" displayFolder="" count="0" memberValueDatatype="20" unbalanced="0"/>
    <cacheHierarchy uniqueName="[HR_Analytics].[NumCompaniesWorked]" caption="NumCompaniesWorked" attribute="1" defaultMemberUniqueName="[HR_Analytics].[NumCompaniesWorked].[All]" allUniqueName="[HR_Analytics].[NumCompaniesWorked].[All]" dimensionUniqueName="[HR_Analytics]" displayFolder="" count="0" memberValueDatatype="20" unbalanced="0"/>
    <cacheHierarchy uniqueName="[HR_Analytics].[Over18]" caption="Over18" attribute="1" defaultMemberUniqueName="[HR_Analytics].[Over18].[All]" allUniqueName="[HR_Analytics].[Over18].[All]" dimensionUniqueName="[HR_Analytics]" displayFolder="" count="0" memberValueDatatype="130" unbalanced="0"/>
    <cacheHierarchy uniqueName="[HR_Analytics].[OverTime]" caption="OverTime" attribute="1" defaultMemberUniqueName="[HR_Analytics].[OverTime].[All]" allUniqueName="[HR_Analytics].[OverTime].[All]" dimensionUniqueName="[HR_Analytics]" displayFolder="" count="0" memberValueDatatype="130" unbalanced="0"/>
    <cacheHierarchy uniqueName="[HR_Analytics].[PercentSalaryHike]" caption="PercentSalaryHike" attribute="1" defaultMemberUniqueName="[HR_Analytics].[PercentSalaryHike].[All]" allUniqueName="[HR_Analytics].[PercentSalaryHike].[All]" dimensionUniqueName="[HR_Analytics]" displayFolder="" count="0" memberValueDatatype="20" unbalanced="0"/>
    <cacheHierarchy uniqueName="[HR_Analytics].[PerformanceRating]" caption="PerformanceRating" attribute="1" defaultMemberUniqueName="[HR_Analytics].[PerformanceRating].[All]" allUniqueName="[HR_Analytics].[PerformanceRating].[All]" dimensionUniqueName="[HR_Analytics]" displayFolder="" count="0" memberValueDatatype="20" unbalanced="0"/>
    <cacheHierarchy uniqueName="[HR_Analytics].[RelationshipSatisfaction]" caption="RelationshipSatisfaction" attribute="1" defaultMemberUniqueName="[HR_Analytics].[RelationshipSatisfaction].[All]" allUniqueName="[HR_Analytics].[RelationshipSatisfaction].[All]" dimensionUniqueName="[HR_Analytics]" displayFolder="" count="0" memberValueDatatype="20" unbalanced="0"/>
    <cacheHierarchy uniqueName="[HR_Analytics].[StandardHours]" caption="StandardHours" attribute="1" defaultMemberUniqueName="[HR_Analytics].[StandardHours].[All]" allUniqueName="[HR_Analytics].[StandardHours].[All]" dimensionUniqueName="[HR_Analytics]" displayFolder="" count="0" memberValueDatatype="20" unbalanced="0"/>
    <cacheHierarchy uniqueName="[HR_Analytics].[StockOptionLevel]" caption="StockOptionLevel" attribute="1" defaultMemberUniqueName="[HR_Analytics].[StockOptionLevel].[All]" allUniqueName="[HR_Analytics].[StockOptionLevel].[All]" dimensionUniqueName="[HR_Analytics]" displayFolder="" count="0" memberValueDatatype="20" unbalanced="0"/>
    <cacheHierarchy uniqueName="[HR_Analytics].[TotalWorkingYears]" caption="TotalWorkingYears" attribute="1" defaultMemberUniqueName="[HR_Analytics].[TotalWorkingYears].[All]" allUniqueName="[HR_Analytics].[TotalWorkingYears].[All]" dimensionUniqueName="[HR_Analytics]" displayFolder="" count="0" memberValueDatatype="20" unbalanced="0"/>
    <cacheHierarchy uniqueName="[HR_Analytics].[TrainingTimesLastYear]" caption="TrainingTimesLastYear" attribute="1" defaultMemberUniqueName="[HR_Analytics].[TrainingTimesLastYear].[All]" allUniqueName="[HR_Analytics].[TrainingTimesLastYear].[All]" dimensionUniqueName="[HR_Analytics]" displayFolder="" count="0" memberValueDatatype="20" unbalanced="0"/>
    <cacheHierarchy uniqueName="[HR_Analytics].[WorkLifeBalance]" caption="WorkLifeBalance" attribute="1" defaultMemberUniqueName="[HR_Analytics].[WorkLifeBalance].[All]" allUniqueName="[HR_Analytics].[WorkLifeBalance].[All]" dimensionUniqueName="[HR_Analytics]" displayFolder="" count="0" memberValueDatatype="20" unbalanced="0"/>
    <cacheHierarchy uniqueName="[HR_Analytics].[YearsAtCompany]" caption="YearsAtCompany" attribute="1" defaultMemberUniqueName="[HR_Analytics].[YearsAtCompany].[All]" allUniqueName="[HR_Analytics].[YearsAtCompany].[All]" dimensionUniqueName="[HR_Analytics]" displayFolder="" count="0" memberValueDatatype="20" unbalanced="0"/>
    <cacheHierarchy uniqueName="[HR_Analytics].[YearsInCurrentRole]" caption="YearsInCurrentRole" attribute="1" defaultMemberUniqueName="[HR_Analytics].[YearsInCurrentRole].[All]" allUniqueName="[HR_Analytics].[YearsInCurrentRole].[All]" dimensionUniqueName="[HR_Analytics]" displayFolder="" count="0" memberValueDatatype="20" unbalanced="0"/>
    <cacheHierarchy uniqueName="[HR_Analytics].[YearsSinceLastPromotion]" caption="YearsSinceLastPromotion" attribute="1" defaultMemberUniqueName="[HR_Analytics].[YearsSinceLastPromotion].[All]" allUniqueName="[HR_Analytics].[YearsSinceLastPromotion].[All]" dimensionUniqueName="[HR_Analytics]" displayFolder="" count="0" memberValueDatatype="20" unbalanced="0"/>
    <cacheHierarchy uniqueName="[HR_Analytics].[YearsWithCurrManager]" caption="YearsWithCurrManager" attribute="1" defaultMemberUniqueName="[HR_Analytics].[YearsWithCurrManager].[All]" allUniqueName="[HR_Analytics].[YearsWithCurrManager].[All]" dimensionUniqueName="[HR_Analytics]" displayFolder="" count="0" memberValueDatatype="5" unbalanced="0"/>
    <cacheHierarchy uniqueName="[Table1].[Column]" caption="Column" attribute="1" defaultMemberUniqueName="[Table1].[Column].[All]" allUniqueName="[Table1].[Column].[All]" dimensionUniqueName="[Table1]" displayFolder="" count="0" memberValueDatatype="130" unbalanced="0"/>
    <cacheHierarchy uniqueName="[Table1].[المعنى بالعربي]" caption="المعنى بالعربي" attribute="1" defaultMemberUniqueName="[Table1].[المعنى بالعربي].[All]" allUniqueName="[Table1].[المعنى بالعربي].[All]" dimensionUniqueName="[Table1]" displayFolder="" count="0" memberValueDatatype="130" unbalanced="0"/>
    <cacheHierarchy uniqueName="[Measures].[Total Employess]" caption="Total Employess" measure="1" displayFolder="" measureGroup="HR_Analytics" count="0"/>
    <cacheHierarchy uniqueName="[Measures].[Attrition Rate]" caption="Attrition Rate" measure="1" displayFolder="" measureGroup="HR_Analytics" count="0"/>
    <cacheHierarchy uniqueName="[Measures].[Overtime Rate]" caption="Overtime Rate" measure="1" displayFolder="" measureGroup="HR_Analytics" count="0"/>
    <cacheHierarchy uniqueName="[Measures].[Stasfaction Score]" caption="Stasfaction Score" measure="1" displayFolder="" measureGroup="HR_Analytics" count="0"/>
    <cacheHierarchy uniqueName="[Measures].[Monthly Income]" caption="Monthly Income" measure="1" displayFolder="" measureGroup="HR_Analytics" count="0"/>
    <cacheHierarchy uniqueName="[Measures].[Avg Age]" caption="Avg Age" measure="1" displayFolder="" measureGroup="HR_Analytics" count="0"/>
    <cacheHierarchy uniqueName="[Measures].[Avg Tenure]" caption="Avg Tenure" measure="1" displayFolder="" measureGroup="HR_Analytics" count="0"/>
    <cacheHierarchy uniqueName="[Measures].[Avg Env Sat]" caption="Avg Env Sat" measure="1" displayFolder="" measureGroup="HR_Analytics" count="0"/>
    <cacheHierarchy uniqueName="[Measures].[Avg WLB]" caption="Avg WLB" measure="1" displayFolder="" measureGroup="HR_Analytics" count="0" oneField="1">
      <fieldsUsage count="1">
        <fieldUsage x="0"/>
      </fieldsUsage>
    </cacheHierarchy>
    <cacheHierarchy uniqueName="[Measures].[__XL_Count Table1]" caption="__XL_Count Table1" measure="1" displayFolder="" measureGroup="Table1" count="0" hidden="1"/>
    <cacheHierarchy uniqueName="[Measures].[__XL_Count HR_Analytics]" caption="__XL_Count HR_Analytics" measure="1" displayFolder="" measureGroup="HR_Analytics" count="0" hidden="1"/>
    <cacheHierarchy uniqueName="[Measures].[__No measures defined]" caption="__No measures defined" measure="1" displayFolder="" count="0" hidden="1"/>
    <cacheHierarchy uniqueName="[Measures].[Sum of Age]" caption="Sum of Age" measure="1" displayFolder="" measureGroup="HR_Analytics" count="0" hidden="1">
      <extLst>
        <ext xmlns:x15="http://schemas.microsoft.com/office/spreadsheetml/2010/11/main" uri="{B97F6D7D-B522-45F9-BDA1-12C45D357490}">
          <x15:cacheHierarchy aggregatedColumn="1"/>
        </ext>
      </extLst>
    </cacheHierarchy>
    <cacheHierarchy uniqueName="[Measures].[Count of Attrition]" caption="Count of Attrition" measure="1" displayFolder="" measureGroup="HR_Analytics" count="0" hidden="1">
      <extLst>
        <ext xmlns:x15="http://schemas.microsoft.com/office/spreadsheetml/2010/11/main" uri="{B97F6D7D-B522-45F9-BDA1-12C45D357490}">
          <x15:cacheHierarchy aggregatedColumn="3"/>
        </ext>
      </extLst>
    </cacheHierarchy>
    <cacheHierarchy uniqueName="[Measures].[Count of OverTime]" caption="Count of OverTime" measure="1" displayFolder="" measureGroup="HR_Analytics" count="0" hidden="1">
      <extLst>
        <ext xmlns:x15="http://schemas.microsoft.com/office/spreadsheetml/2010/11/main" uri="{B97F6D7D-B522-45F9-BDA1-12C45D357490}">
          <x15:cacheHierarchy aggregatedColumn="25"/>
        </ext>
      </extLst>
    </cacheHierarchy>
    <cacheHierarchy uniqueName="[Measures].[Count of Department]" caption="Count of Department" measure="1" displayFolder="" measureGroup="HR_Analytics" count="0" hidden="1">
      <extLst>
        <ext xmlns:x15="http://schemas.microsoft.com/office/spreadsheetml/2010/11/main" uri="{B97F6D7D-B522-45F9-BDA1-12C45D357490}">
          <x15:cacheHierarchy aggregatedColumn="6"/>
        </ext>
      </extLst>
    </cacheHierarchy>
  </cacheHierarchies>
  <kpis count="0"/>
  <dimensions count="3">
    <dimension name="HR_Analytics" uniqueName="[HR_Analytics]" caption="HR_Analytics"/>
    <dimension measure="1" name="Measures" uniqueName="[Measures]" caption="Measures"/>
    <dimension name="Table1" uniqueName="[Table1]" caption="Table1"/>
  </dimensions>
  <measureGroups count="2">
    <measureGroup name="HR_Analytics" caption="HR_Analytics"/>
    <measureGroup name="Table1" caption="Table1"/>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323.833600925929" backgroundQuery="1" createdVersion="8" refreshedVersion="8" minRefreshableVersion="3" recordCount="0" supportSubquery="1" supportAdvancedDrill="1" xr:uid="{CE0AC8EF-75E2-418B-8288-5C91AAF0AE3B}">
  <cacheSource type="external" connectionId="2"/>
  <cacheFields count="3">
    <cacheField name="[Measures].[Total Employess]" caption="Total Employess" numFmtId="0" hierarchy="40" level="32767"/>
    <cacheField name="[HR_Analytics].[Age].[Age]" caption="Age" numFmtId="0" hierarchy="1" level="1">
      <sharedItems containsSemiMixedTypes="0" containsString="0" containsNumber="1" containsInteger="1" minValue="18" maxValue="60" count="43">
        <n v="18"/>
        <n v="19"/>
        <n v="20"/>
        <n v="21"/>
        <n v="22"/>
        <n v="23"/>
        <n v="24"/>
        <n v="25"/>
        <n v="26"/>
        <n v="27"/>
        <n v="28"/>
        <n v="29"/>
        <n v="30"/>
        <n v="31"/>
        <n v="32"/>
        <n v="33"/>
        <n v="34"/>
        <n v="35"/>
        <n v="36"/>
        <n v="37"/>
        <n v="38"/>
        <n v="39"/>
        <n v="40"/>
        <n v="41"/>
        <n v="42"/>
        <n v="43"/>
        <n v="44"/>
        <n v="45"/>
        <n v="46"/>
        <n v="47"/>
        <n v="48"/>
        <n v="49"/>
        <n v="50"/>
        <n v="51"/>
        <n v="52"/>
        <n v="53"/>
        <n v="54"/>
        <n v="55"/>
        <n v="56"/>
        <n v="57"/>
        <n v="58"/>
        <n v="59"/>
        <n v="60"/>
      </sharedItems>
      <extLst>
        <ext xmlns:x15="http://schemas.microsoft.com/office/spreadsheetml/2010/11/main" uri="{4F2E5C28-24EA-4eb8-9CBF-B6C8F9C3D259}">
          <x15:cachedUniqueNames>
            <x15:cachedUniqueName index="0" name="[HR_Analytics].[Age].&amp;[18]"/>
            <x15:cachedUniqueName index="1" name="[HR_Analytics].[Age].&amp;[19]"/>
            <x15:cachedUniqueName index="2" name="[HR_Analytics].[Age].&amp;[20]"/>
            <x15:cachedUniqueName index="3" name="[HR_Analytics].[Age].&amp;[21]"/>
            <x15:cachedUniqueName index="4" name="[HR_Analytics].[Age].&amp;[22]"/>
            <x15:cachedUniqueName index="5" name="[HR_Analytics].[Age].&amp;[23]"/>
            <x15:cachedUniqueName index="6" name="[HR_Analytics].[Age].&amp;[24]"/>
            <x15:cachedUniqueName index="7" name="[HR_Analytics].[Age].&amp;[25]"/>
            <x15:cachedUniqueName index="8" name="[HR_Analytics].[Age].&amp;[26]"/>
            <x15:cachedUniqueName index="9" name="[HR_Analytics].[Age].&amp;[27]"/>
            <x15:cachedUniqueName index="10" name="[HR_Analytics].[Age].&amp;[28]"/>
            <x15:cachedUniqueName index="11" name="[HR_Analytics].[Age].&amp;[29]"/>
            <x15:cachedUniqueName index="12" name="[HR_Analytics].[Age].&amp;[30]"/>
            <x15:cachedUniqueName index="13" name="[HR_Analytics].[Age].&amp;[31]"/>
            <x15:cachedUniqueName index="14" name="[HR_Analytics].[Age].&amp;[32]"/>
            <x15:cachedUniqueName index="15" name="[HR_Analytics].[Age].&amp;[33]"/>
            <x15:cachedUniqueName index="16" name="[HR_Analytics].[Age].&amp;[34]"/>
            <x15:cachedUniqueName index="17" name="[HR_Analytics].[Age].&amp;[35]"/>
            <x15:cachedUniqueName index="18" name="[HR_Analytics].[Age].&amp;[36]"/>
            <x15:cachedUniqueName index="19" name="[HR_Analytics].[Age].&amp;[37]"/>
            <x15:cachedUniqueName index="20" name="[HR_Analytics].[Age].&amp;[38]"/>
            <x15:cachedUniqueName index="21" name="[HR_Analytics].[Age].&amp;[39]"/>
            <x15:cachedUniqueName index="22" name="[HR_Analytics].[Age].&amp;[40]"/>
            <x15:cachedUniqueName index="23" name="[HR_Analytics].[Age].&amp;[41]"/>
            <x15:cachedUniqueName index="24" name="[HR_Analytics].[Age].&amp;[42]"/>
            <x15:cachedUniqueName index="25" name="[HR_Analytics].[Age].&amp;[43]"/>
            <x15:cachedUniqueName index="26" name="[HR_Analytics].[Age].&amp;[44]"/>
            <x15:cachedUniqueName index="27" name="[HR_Analytics].[Age].&amp;[45]"/>
            <x15:cachedUniqueName index="28" name="[HR_Analytics].[Age].&amp;[46]"/>
            <x15:cachedUniqueName index="29" name="[HR_Analytics].[Age].&amp;[47]"/>
            <x15:cachedUniqueName index="30" name="[HR_Analytics].[Age].&amp;[48]"/>
            <x15:cachedUniqueName index="31" name="[HR_Analytics].[Age].&amp;[49]"/>
            <x15:cachedUniqueName index="32" name="[HR_Analytics].[Age].&amp;[50]"/>
            <x15:cachedUniqueName index="33" name="[HR_Analytics].[Age].&amp;[51]"/>
            <x15:cachedUniqueName index="34" name="[HR_Analytics].[Age].&amp;[52]"/>
            <x15:cachedUniqueName index="35" name="[HR_Analytics].[Age].&amp;[53]"/>
            <x15:cachedUniqueName index="36" name="[HR_Analytics].[Age].&amp;[54]"/>
            <x15:cachedUniqueName index="37" name="[HR_Analytics].[Age].&amp;[55]"/>
            <x15:cachedUniqueName index="38" name="[HR_Analytics].[Age].&amp;[56]"/>
            <x15:cachedUniqueName index="39" name="[HR_Analytics].[Age].&amp;[57]"/>
            <x15:cachedUniqueName index="40" name="[HR_Analytics].[Age].&amp;[58]"/>
            <x15:cachedUniqueName index="41" name="[HR_Analytics].[Age].&amp;[59]"/>
            <x15:cachedUniqueName index="42" name="[HR_Analytics].[Age].&amp;[60]"/>
          </x15:cachedUniqueNames>
        </ext>
      </extLst>
    </cacheField>
    <cacheField name="[HR_Analytics].[Department].[Department]" caption="Department" numFmtId="0" hierarchy="6" level="1">
      <sharedItems containsSemiMixedTypes="0" containsNonDate="0" containsString="0"/>
    </cacheField>
  </cacheFields>
  <cacheHierarchies count="56">
    <cacheHierarchy uniqueName="[HR_Analytics].[EmpID]" caption="EmpID" attribute="1" defaultMemberUniqueName="[HR_Analytics].[EmpID].[All]" allUniqueName="[HR_Analytics].[EmpID].[All]" dimensionUniqueName="[HR_Analytics]" displayFolder="" count="0" memberValueDatatype="130" unbalanced="0"/>
    <cacheHierarchy uniqueName="[HR_Analytics].[Age]" caption="Age" attribute="1" defaultMemberUniqueName="[HR_Analytics].[Age].[All]" allUniqueName="[HR_Analytics].[Age].[All]" dimensionUniqueName="[HR_Analytics]" displayFolder="" count="2" memberValueDatatype="20" unbalanced="0">
      <fieldsUsage count="2">
        <fieldUsage x="-1"/>
        <fieldUsage x="1"/>
      </fieldsUsage>
    </cacheHierarchy>
    <cacheHierarchy uniqueName="[HR_Analytics].[AgeGroup]" caption="AgeGroup" attribute="1" defaultMemberUniqueName="[HR_Analytics].[AgeGroup].[All]" allUniqueName="[HR_Analytics].[AgeGroup].[All]" dimensionUniqueName="[HR_Analytics]" displayFolder="" count="0" memberValueDatatype="130" unbalanced="0"/>
    <cacheHierarchy uniqueName="[HR_Analytics].[Attrition]" caption="Attrition" attribute="1" defaultMemberUniqueName="[HR_Analytics].[Attrition].[All]" allUniqueName="[HR_Analytics].[Attrition].[All]" dimensionUniqueName="[HR_Analytics]" displayFolder="" count="0" memberValueDatatype="130" unbalanced="0"/>
    <cacheHierarchy uniqueName="[HR_Analytics].[BusinessTravel]" caption="BusinessTravel" attribute="1" defaultMemberUniqueName="[HR_Analytics].[BusinessTravel].[All]" allUniqueName="[HR_Analytics].[BusinessTravel].[All]" dimensionUniqueName="[HR_Analytics]" displayFolder="" count="0" memberValueDatatype="130" unbalanced="0"/>
    <cacheHierarchy uniqueName="[HR_Analytics].[DailyRate]" caption="DailyRate" attribute="1" defaultMemberUniqueName="[HR_Analytics].[DailyRate].[All]" allUniqueName="[HR_Analytics].[DailyRate].[All]" dimensionUniqueName="[HR_Analytics]" displayFolder="" count="0" memberValueDatatype="20" unbalanced="0"/>
    <cacheHierarchy uniqueName="[HR_Analytics].[Department]" caption="Department" attribute="1" defaultMemberUniqueName="[HR_Analytics].[Department].[All]" allUniqueName="[HR_Analytics].[Department].[All]" dimensionUniqueName="[HR_Analytics]" displayFolder="" count="2" memberValueDatatype="130" unbalanced="0">
      <fieldsUsage count="2">
        <fieldUsage x="-1"/>
        <fieldUsage x="2"/>
      </fieldsUsage>
    </cacheHierarchy>
    <cacheHierarchy uniqueName="[HR_Analytics].[DistanceFromHome]" caption="DistanceFromHome" attribute="1" defaultMemberUniqueName="[HR_Analytics].[DistanceFromHome].[All]" allUniqueName="[HR_Analytics].[DistanceFromHome].[All]" dimensionUniqueName="[HR_Analytics]" displayFolder="" count="0" memberValueDatatype="20" unbalanced="0"/>
    <cacheHierarchy uniqueName="[HR_Analytics].[Education]" caption="Education" attribute="1" defaultMemberUniqueName="[HR_Analytics].[Education].[All]" allUniqueName="[HR_Analytics].[Education].[All]" dimensionUniqueName="[HR_Analytics]" displayFolder="" count="0" memberValueDatatype="20" unbalanced="0"/>
    <cacheHierarchy uniqueName="[HR_Analytics].[EducationField]" caption="EducationField" attribute="1" defaultMemberUniqueName="[HR_Analytics].[EducationField].[All]" allUniqueName="[HR_Analytics].[EducationField].[All]" dimensionUniqueName="[HR_Analytics]" displayFolder="" count="0" memberValueDatatype="130" unbalanced="0"/>
    <cacheHierarchy uniqueName="[HR_Analytics].[EmployeeCount]" caption="EmployeeCount" attribute="1" defaultMemberUniqueName="[HR_Analytics].[EmployeeCount].[All]" allUniqueName="[HR_Analytics].[EmployeeCount].[All]" dimensionUniqueName="[HR_Analytics]" displayFolder="" count="0" memberValueDatatype="20" unbalanced="0"/>
    <cacheHierarchy uniqueName="[HR_Analytics].[EmployeeNumber]" caption="EmployeeNumber" attribute="1" defaultMemberUniqueName="[HR_Analytics].[EmployeeNumber].[All]" allUniqueName="[HR_Analytics].[EmployeeNumber].[All]" dimensionUniqueName="[HR_Analytics]" displayFolder="" count="0" memberValueDatatype="20" unbalanced="0"/>
    <cacheHierarchy uniqueName="[HR_Analytics].[EnvironmentSatisfaction]" caption="EnvironmentSatisfaction" attribute="1" defaultMemberUniqueName="[HR_Analytics].[EnvironmentSatisfaction].[All]" allUniqueName="[HR_Analytics].[EnvironmentSatisfaction].[All]" dimensionUniqueName="[HR_Analytics]" displayFolder="" count="0" memberValueDatatype="20" unbalanced="0"/>
    <cacheHierarchy uniqueName="[HR_Analytics].[Gender]" caption="Gender" attribute="1" defaultMemberUniqueName="[HR_Analytics].[Gender].[All]" allUniqueName="[HR_Analytics].[Gender].[All]" dimensionUniqueName="[HR_Analytics]" displayFolder="" count="0" memberValueDatatype="130" unbalanced="0"/>
    <cacheHierarchy uniqueName="[HR_Analytics].[HourlyRate]" caption="HourlyRate" attribute="1" defaultMemberUniqueName="[HR_Analytics].[HourlyRate].[All]" allUniqueName="[HR_Analytics].[HourlyRate].[All]" dimensionUniqueName="[HR_Analytics]" displayFolder="" count="0" memberValueDatatype="20" unbalanced="0"/>
    <cacheHierarchy uniqueName="[HR_Analytics].[JobInvolvement]" caption="JobInvolvement" attribute="1" defaultMemberUniqueName="[HR_Analytics].[JobInvolvement].[All]" allUniqueName="[HR_Analytics].[JobInvolvement].[All]" dimensionUniqueName="[HR_Analytics]" displayFolder="" count="0" memberValueDatatype="20" unbalanced="0"/>
    <cacheHierarchy uniqueName="[HR_Analytics].[JobLevel]" caption="JobLevel" attribute="1" defaultMemberUniqueName="[HR_Analytics].[JobLevel].[All]" allUniqueName="[HR_Analytics].[JobLevel].[All]" dimensionUniqueName="[HR_Analytics]" displayFolder="" count="0" memberValueDatatype="20" unbalanced="0"/>
    <cacheHierarchy uniqueName="[HR_Analytics].[JobRole]" caption="JobRole" attribute="1" defaultMemberUniqueName="[HR_Analytics].[JobRole].[All]" allUniqueName="[HR_Analytics].[JobRole].[All]" dimensionUniqueName="[HR_Analytics]" displayFolder="" count="0" memberValueDatatype="130" unbalanced="0"/>
    <cacheHierarchy uniqueName="[HR_Analytics].[JobSatisfaction]" caption="JobSatisfaction" attribute="1" defaultMemberUniqueName="[HR_Analytics].[JobSatisfaction].[All]" allUniqueName="[HR_Analytics].[JobSatisfaction].[All]" dimensionUniqueName="[HR_Analytics]" displayFolder="" count="0" memberValueDatatype="20" unbalanced="0"/>
    <cacheHierarchy uniqueName="[HR_Analytics].[MaritalStatus]" caption="MaritalStatus" attribute="1" defaultMemberUniqueName="[HR_Analytics].[MaritalStatus].[All]" allUniqueName="[HR_Analytics].[MaritalStatus].[All]" dimensionUniqueName="[HR_Analytics]" displayFolder="" count="0" memberValueDatatype="130" unbalanced="0"/>
    <cacheHierarchy uniqueName="[HR_Analytics].[MonthlyIncome]" caption="MonthlyIncome" attribute="1" defaultMemberUniqueName="[HR_Analytics].[MonthlyIncome].[All]" allUniqueName="[HR_Analytics].[MonthlyIncome].[All]" dimensionUniqueName="[HR_Analytics]" displayFolder="" count="0" memberValueDatatype="20" unbalanced="0"/>
    <cacheHierarchy uniqueName="[HR_Analytics].[SalarySlab]" caption="SalarySlab" attribute="1" defaultMemberUniqueName="[HR_Analytics].[SalarySlab].[All]" allUniqueName="[HR_Analytics].[SalarySlab].[All]" dimensionUniqueName="[HR_Analytics]" displayFolder="" count="2" memberValueDatatype="130" unbalanced="0"/>
    <cacheHierarchy uniqueName="[HR_Analytics].[MonthlyRate]" caption="MonthlyRate" attribute="1" defaultMemberUniqueName="[HR_Analytics].[MonthlyRate].[All]" allUniqueName="[HR_Analytics].[MonthlyRate].[All]" dimensionUniqueName="[HR_Analytics]" displayFolder="" count="0" memberValueDatatype="20" unbalanced="0"/>
    <cacheHierarchy uniqueName="[HR_Analytics].[NumCompaniesWorked]" caption="NumCompaniesWorked" attribute="1" defaultMemberUniqueName="[HR_Analytics].[NumCompaniesWorked].[All]" allUniqueName="[HR_Analytics].[NumCompaniesWorked].[All]" dimensionUniqueName="[HR_Analytics]" displayFolder="" count="0" memberValueDatatype="20" unbalanced="0"/>
    <cacheHierarchy uniqueName="[HR_Analytics].[Over18]" caption="Over18" attribute="1" defaultMemberUniqueName="[HR_Analytics].[Over18].[All]" allUniqueName="[HR_Analytics].[Over18].[All]" dimensionUniqueName="[HR_Analytics]" displayFolder="" count="0" memberValueDatatype="130" unbalanced="0"/>
    <cacheHierarchy uniqueName="[HR_Analytics].[OverTime]" caption="OverTime" attribute="1" defaultMemberUniqueName="[HR_Analytics].[OverTime].[All]" allUniqueName="[HR_Analytics].[OverTime].[All]" dimensionUniqueName="[HR_Analytics]" displayFolder="" count="0" memberValueDatatype="130" unbalanced="0"/>
    <cacheHierarchy uniqueName="[HR_Analytics].[PercentSalaryHike]" caption="PercentSalaryHike" attribute="1" defaultMemberUniqueName="[HR_Analytics].[PercentSalaryHike].[All]" allUniqueName="[HR_Analytics].[PercentSalaryHike].[All]" dimensionUniqueName="[HR_Analytics]" displayFolder="" count="0" memberValueDatatype="20" unbalanced="0"/>
    <cacheHierarchy uniqueName="[HR_Analytics].[PerformanceRating]" caption="PerformanceRating" attribute="1" defaultMemberUniqueName="[HR_Analytics].[PerformanceRating].[All]" allUniqueName="[HR_Analytics].[PerformanceRating].[All]" dimensionUniqueName="[HR_Analytics]" displayFolder="" count="0" memberValueDatatype="20" unbalanced="0"/>
    <cacheHierarchy uniqueName="[HR_Analytics].[RelationshipSatisfaction]" caption="RelationshipSatisfaction" attribute="1" defaultMemberUniqueName="[HR_Analytics].[RelationshipSatisfaction].[All]" allUniqueName="[HR_Analytics].[RelationshipSatisfaction].[All]" dimensionUniqueName="[HR_Analytics]" displayFolder="" count="0" memberValueDatatype="20" unbalanced="0"/>
    <cacheHierarchy uniqueName="[HR_Analytics].[StandardHours]" caption="StandardHours" attribute="1" defaultMemberUniqueName="[HR_Analytics].[StandardHours].[All]" allUniqueName="[HR_Analytics].[StandardHours].[All]" dimensionUniqueName="[HR_Analytics]" displayFolder="" count="0" memberValueDatatype="20" unbalanced="0"/>
    <cacheHierarchy uniqueName="[HR_Analytics].[StockOptionLevel]" caption="StockOptionLevel" attribute="1" defaultMemberUniqueName="[HR_Analytics].[StockOptionLevel].[All]" allUniqueName="[HR_Analytics].[StockOptionLevel].[All]" dimensionUniqueName="[HR_Analytics]" displayFolder="" count="0" memberValueDatatype="20" unbalanced="0"/>
    <cacheHierarchy uniqueName="[HR_Analytics].[TotalWorkingYears]" caption="TotalWorkingYears" attribute="1" defaultMemberUniqueName="[HR_Analytics].[TotalWorkingYears].[All]" allUniqueName="[HR_Analytics].[TotalWorkingYears].[All]" dimensionUniqueName="[HR_Analytics]" displayFolder="" count="0" memberValueDatatype="20" unbalanced="0"/>
    <cacheHierarchy uniqueName="[HR_Analytics].[TrainingTimesLastYear]" caption="TrainingTimesLastYear" attribute="1" defaultMemberUniqueName="[HR_Analytics].[TrainingTimesLastYear].[All]" allUniqueName="[HR_Analytics].[TrainingTimesLastYear].[All]" dimensionUniqueName="[HR_Analytics]" displayFolder="" count="0" memberValueDatatype="20" unbalanced="0"/>
    <cacheHierarchy uniqueName="[HR_Analytics].[WorkLifeBalance]" caption="WorkLifeBalance" attribute="1" defaultMemberUniqueName="[HR_Analytics].[WorkLifeBalance].[All]" allUniqueName="[HR_Analytics].[WorkLifeBalance].[All]" dimensionUniqueName="[HR_Analytics]" displayFolder="" count="0" memberValueDatatype="20" unbalanced="0"/>
    <cacheHierarchy uniqueName="[HR_Analytics].[YearsAtCompany]" caption="YearsAtCompany" attribute="1" defaultMemberUniqueName="[HR_Analytics].[YearsAtCompany].[All]" allUniqueName="[HR_Analytics].[YearsAtCompany].[All]" dimensionUniqueName="[HR_Analytics]" displayFolder="" count="0" memberValueDatatype="20" unbalanced="0"/>
    <cacheHierarchy uniqueName="[HR_Analytics].[YearsInCurrentRole]" caption="YearsInCurrentRole" attribute="1" defaultMemberUniqueName="[HR_Analytics].[YearsInCurrentRole].[All]" allUniqueName="[HR_Analytics].[YearsInCurrentRole].[All]" dimensionUniqueName="[HR_Analytics]" displayFolder="" count="0" memberValueDatatype="20" unbalanced="0"/>
    <cacheHierarchy uniqueName="[HR_Analytics].[YearsSinceLastPromotion]" caption="YearsSinceLastPromotion" attribute="1" defaultMemberUniqueName="[HR_Analytics].[YearsSinceLastPromotion].[All]" allUniqueName="[HR_Analytics].[YearsSinceLastPromotion].[All]" dimensionUniqueName="[HR_Analytics]" displayFolder="" count="0" memberValueDatatype="20" unbalanced="0"/>
    <cacheHierarchy uniqueName="[HR_Analytics].[YearsWithCurrManager]" caption="YearsWithCurrManager" attribute="1" defaultMemberUniqueName="[HR_Analytics].[YearsWithCurrManager].[All]" allUniqueName="[HR_Analytics].[YearsWithCurrManager].[All]" dimensionUniqueName="[HR_Analytics]" displayFolder="" count="0" memberValueDatatype="5" unbalanced="0"/>
    <cacheHierarchy uniqueName="[Table1].[Column]" caption="Column" attribute="1" defaultMemberUniqueName="[Table1].[Column].[All]" allUniqueName="[Table1].[Column].[All]" dimensionUniqueName="[Table1]" displayFolder="" count="0" memberValueDatatype="130" unbalanced="0"/>
    <cacheHierarchy uniqueName="[Table1].[المعنى بالعربي]" caption="المعنى بالعربي" attribute="1" defaultMemberUniqueName="[Table1].[المعنى بالعربي].[All]" allUniqueName="[Table1].[المعنى بالعربي].[All]" dimensionUniqueName="[Table1]" displayFolder="" count="0" memberValueDatatype="130" unbalanced="0"/>
    <cacheHierarchy uniqueName="[Measures].[Total Employess]" caption="Total Employess" measure="1" displayFolder="" measureGroup="HR_Analytics" count="0" oneField="1">
      <fieldsUsage count="1">
        <fieldUsage x="0"/>
      </fieldsUsage>
    </cacheHierarchy>
    <cacheHierarchy uniqueName="[Measures].[Attrition Rate]" caption="Attrition Rate" measure="1" displayFolder="" measureGroup="HR_Analytics" count="0"/>
    <cacheHierarchy uniqueName="[Measures].[Overtime Rate]" caption="Overtime Rate" measure="1" displayFolder="" measureGroup="HR_Analytics" count="0"/>
    <cacheHierarchy uniqueName="[Measures].[Stasfaction Score]" caption="Stasfaction Score" measure="1" displayFolder="" measureGroup="HR_Analytics" count="0"/>
    <cacheHierarchy uniqueName="[Measures].[Monthly Income]" caption="Monthly Income" measure="1" displayFolder="" measureGroup="HR_Analytics" count="0"/>
    <cacheHierarchy uniqueName="[Measures].[Avg Age]" caption="Avg Age" measure="1" displayFolder="" measureGroup="HR_Analytics" count="0"/>
    <cacheHierarchy uniqueName="[Measures].[Avg Tenure]" caption="Avg Tenure" measure="1" displayFolder="" measureGroup="HR_Analytics" count="0"/>
    <cacheHierarchy uniqueName="[Measures].[Avg Env Sat]" caption="Avg Env Sat" measure="1" displayFolder="" measureGroup="HR_Analytics" count="0"/>
    <cacheHierarchy uniqueName="[Measures].[Avg WLB]" caption="Avg WLB" measure="1" displayFolder="" measureGroup="HR_Analytics" count="0"/>
    <cacheHierarchy uniqueName="[Measures].[__XL_Count Table1]" caption="__XL_Count Table1" measure="1" displayFolder="" measureGroup="Table1" count="0" hidden="1"/>
    <cacheHierarchy uniqueName="[Measures].[__XL_Count HR_Analytics]" caption="__XL_Count HR_Analytics" measure="1" displayFolder="" measureGroup="HR_Analytics" count="0" hidden="1"/>
    <cacheHierarchy uniqueName="[Measures].[__No measures defined]" caption="__No measures defined" measure="1" displayFolder="" count="0" hidden="1"/>
    <cacheHierarchy uniqueName="[Measures].[Sum of Age]" caption="Sum of Age" measure="1" displayFolder="" measureGroup="HR_Analytics" count="0" hidden="1">
      <extLst>
        <ext xmlns:x15="http://schemas.microsoft.com/office/spreadsheetml/2010/11/main" uri="{B97F6D7D-B522-45F9-BDA1-12C45D357490}">
          <x15:cacheHierarchy aggregatedColumn="1"/>
        </ext>
      </extLst>
    </cacheHierarchy>
    <cacheHierarchy uniqueName="[Measures].[Count of Attrition]" caption="Count of Attrition" measure="1" displayFolder="" measureGroup="HR_Analytics" count="0" hidden="1">
      <extLst>
        <ext xmlns:x15="http://schemas.microsoft.com/office/spreadsheetml/2010/11/main" uri="{B97F6D7D-B522-45F9-BDA1-12C45D357490}">
          <x15:cacheHierarchy aggregatedColumn="3"/>
        </ext>
      </extLst>
    </cacheHierarchy>
    <cacheHierarchy uniqueName="[Measures].[Count of OverTime]" caption="Count of OverTime" measure="1" displayFolder="" measureGroup="HR_Analytics" count="0" hidden="1">
      <extLst>
        <ext xmlns:x15="http://schemas.microsoft.com/office/spreadsheetml/2010/11/main" uri="{B97F6D7D-B522-45F9-BDA1-12C45D357490}">
          <x15:cacheHierarchy aggregatedColumn="25"/>
        </ext>
      </extLst>
    </cacheHierarchy>
    <cacheHierarchy uniqueName="[Measures].[Count of Department]" caption="Count of Department" measure="1" displayFolder="" measureGroup="HR_Analytics" count="0" hidden="1">
      <extLst>
        <ext xmlns:x15="http://schemas.microsoft.com/office/spreadsheetml/2010/11/main" uri="{B97F6D7D-B522-45F9-BDA1-12C45D357490}">
          <x15:cacheHierarchy aggregatedColumn="6"/>
        </ext>
      </extLst>
    </cacheHierarchy>
  </cacheHierarchies>
  <kpis count="0"/>
  <dimensions count="3">
    <dimension name="HR_Analytics" uniqueName="[HR_Analytics]" caption="HR_Analytics"/>
    <dimension measure="1" name="Measures" uniqueName="[Measures]" caption="Measures"/>
    <dimension name="Table1" uniqueName="[Table1]" caption="Table1"/>
  </dimensions>
  <measureGroups count="2">
    <measureGroup name="HR_Analytics" caption="HR_Analytics"/>
    <measureGroup name="Table1" caption="Table1"/>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323.833601967592" backgroundQuery="1" createdVersion="8" refreshedVersion="8" minRefreshableVersion="3" recordCount="0" supportSubquery="1" supportAdvancedDrill="1" xr:uid="{65204724-182C-4271-8D20-B86F1A35BDB1}">
  <cacheSource type="external" connectionId="2"/>
  <cacheFields count="3">
    <cacheField name="[Measures].[Attrition Rate]" caption="Attrition Rate" numFmtId="0" hierarchy="41" level="32767"/>
    <cacheField name="[HR_Analytics].[Age].[Age]" caption="Age" numFmtId="0" hierarchy="1" level="1">
      <sharedItems containsSemiMixedTypes="0" containsString="0" containsNumber="1" containsInteger="1" minValue="18" maxValue="58" count="39">
        <n v="18"/>
        <n v="19"/>
        <n v="20"/>
        <n v="21"/>
        <n v="22"/>
        <n v="23"/>
        <n v="24"/>
        <n v="25"/>
        <n v="26"/>
        <n v="27"/>
        <n v="28"/>
        <n v="29"/>
        <n v="30"/>
        <n v="31"/>
        <n v="32"/>
        <n v="33"/>
        <n v="34"/>
        <n v="35"/>
        <n v="36"/>
        <n v="37"/>
        <n v="38"/>
        <n v="39"/>
        <n v="40"/>
        <n v="41"/>
        <n v="42"/>
        <n v="43"/>
        <n v="44"/>
        <n v="45"/>
        <n v="46"/>
        <n v="47"/>
        <n v="48"/>
        <n v="49"/>
        <n v="50"/>
        <n v="51"/>
        <n v="52"/>
        <n v="53"/>
        <n v="55"/>
        <n v="56"/>
        <n v="58"/>
      </sharedItems>
      <extLst>
        <ext xmlns:x15="http://schemas.microsoft.com/office/spreadsheetml/2010/11/main" uri="{4F2E5C28-24EA-4eb8-9CBF-B6C8F9C3D259}">
          <x15:cachedUniqueNames>
            <x15:cachedUniqueName index="0" name="[HR_Analytics].[Age].&amp;[18]"/>
            <x15:cachedUniqueName index="1" name="[HR_Analytics].[Age].&amp;[19]"/>
            <x15:cachedUniqueName index="2" name="[HR_Analytics].[Age].&amp;[20]"/>
            <x15:cachedUniqueName index="3" name="[HR_Analytics].[Age].&amp;[21]"/>
            <x15:cachedUniqueName index="4" name="[HR_Analytics].[Age].&amp;[22]"/>
            <x15:cachedUniqueName index="5" name="[HR_Analytics].[Age].&amp;[23]"/>
            <x15:cachedUniqueName index="6" name="[HR_Analytics].[Age].&amp;[24]"/>
            <x15:cachedUniqueName index="7" name="[HR_Analytics].[Age].&amp;[25]"/>
            <x15:cachedUniqueName index="8" name="[HR_Analytics].[Age].&amp;[26]"/>
            <x15:cachedUniqueName index="9" name="[HR_Analytics].[Age].&amp;[27]"/>
            <x15:cachedUniqueName index="10" name="[HR_Analytics].[Age].&amp;[28]"/>
            <x15:cachedUniqueName index="11" name="[HR_Analytics].[Age].&amp;[29]"/>
            <x15:cachedUniqueName index="12" name="[HR_Analytics].[Age].&amp;[30]"/>
            <x15:cachedUniqueName index="13" name="[HR_Analytics].[Age].&amp;[31]"/>
            <x15:cachedUniqueName index="14" name="[HR_Analytics].[Age].&amp;[32]"/>
            <x15:cachedUniqueName index="15" name="[HR_Analytics].[Age].&amp;[33]"/>
            <x15:cachedUniqueName index="16" name="[HR_Analytics].[Age].&amp;[34]"/>
            <x15:cachedUniqueName index="17" name="[HR_Analytics].[Age].&amp;[35]"/>
            <x15:cachedUniqueName index="18" name="[HR_Analytics].[Age].&amp;[36]"/>
            <x15:cachedUniqueName index="19" name="[HR_Analytics].[Age].&amp;[37]"/>
            <x15:cachedUniqueName index="20" name="[HR_Analytics].[Age].&amp;[38]"/>
            <x15:cachedUniqueName index="21" name="[HR_Analytics].[Age].&amp;[39]"/>
            <x15:cachedUniqueName index="22" name="[HR_Analytics].[Age].&amp;[40]"/>
            <x15:cachedUniqueName index="23" name="[HR_Analytics].[Age].&amp;[41]"/>
            <x15:cachedUniqueName index="24" name="[HR_Analytics].[Age].&amp;[42]"/>
            <x15:cachedUniqueName index="25" name="[HR_Analytics].[Age].&amp;[43]"/>
            <x15:cachedUniqueName index="26" name="[HR_Analytics].[Age].&amp;[44]"/>
            <x15:cachedUniqueName index="27" name="[HR_Analytics].[Age].&amp;[45]"/>
            <x15:cachedUniqueName index="28" name="[HR_Analytics].[Age].&amp;[46]"/>
            <x15:cachedUniqueName index="29" name="[HR_Analytics].[Age].&amp;[47]"/>
            <x15:cachedUniqueName index="30" name="[HR_Analytics].[Age].&amp;[48]"/>
            <x15:cachedUniqueName index="31" name="[HR_Analytics].[Age].&amp;[49]"/>
            <x15:cachedUniqueName index="32" name="[HR_Analytics].[Age].&amp;[50]"/>
            <x15:cachedUniqueName index="33" name="[HR_Analytics].[Age].&amp;[51]"/>
            <x15:cachedUniqueName index="34" name="[HR_Analytics].[Age].&amp;[52]"/>
            <x15:cachedUniqueName index="35" name="[HR_Analytics].[Age].&amp;[53]"/>
            <x15:cachedUniqueName index="36" name="[HR_Analytics].[Age].&amp;[55]"/>
            <x15:cachedUniqueName index="37" name="[HR_Analytics].[Age].&amp;[56]"/>
            <x15:cachedUniqueName index="38" name="[HR_Analytics].[Age].&amp;[58]"/>
          </x15:cachedUniqueNames>
        </ext>
      </extLst>
    </cacheField>
    <cacheField name="[HR_Analytics].[Department].[Department]" caption="Department" numFmtId="0" hierarchy="6" level="1">
      <sharedItems containsSemiMixedTypes="0" containsNonDate="0" containsString="0"/>
    </cacheField>
  </cacheFields>
  <cacheHierarchies count="56">
    <cacheHierarchy uniqueName="[HR_Analytics].[EmpID]" caption="EmpID" attribute="1" defaultMemberUniqueName="[HR_Analytics].[EmpID].[All]" allUniqueName="[HR_Analytics].[EmpID].[All]" dimensionUniqueName="[HR_Analytics]" displayFolder="" count="0" memberValueDatatype="130" unbalanced="0"/>
    <cacheHierarchy uniqueName="[HR_Analytics].[Age]" caption="Age" attribute="1" defaultMemberUniqueName="[HR_Analytics].[Age].[All]" allUniqueName="[HR_Analytics].[Age].[All]" dimensionUniqueName="[HR_Analytics]" displayFolder="" count="2" memberValueDatatype="20" unbalanced="0">
      <fieldsUsage count="2">
        <fieldUsage x="-1"/>
        <fieldUsage x="1"/>
      </fieldsUsage>
    </cacheHierarchy>
    <cacheHierarchy uniqueName="[HR_Analytics].[AgeGroup]" caption="AgeGroup" attribute="1" defaultMemberUniqueName="[HR_Analytics].[AgeGroup].[All]" allUniqueName="[HR_Analytics].[AgeGroup].[All]" dimensionUniqueName="[HR_Analytics]" displayFolder="" count="0" memberValueDatatype="130" unbalanced="0"/>
    <cacheHierarchy uniqueName="[HR_Analytics].[Attrition]" caption="Attrition" attribute="1" defaultMemberUniqueName="[HR_Analytics].[Attrition].[All]" allUniqueName="[HR_Analytics].[Attrition].[All]" dimensionUniqueName="[HR_Analytics]" displayFolder="" count="0" memberValueDatatype="130" unbalanced="0"/>
    <cacheHierarchy uniqueName="[HR_Analytics].[BusinessTravel]" caption="BusinessTravel" attribute="1" defaultMemberUniqueName="[HR_Analytics].[BusinessTravel].[All]" allUniqueName="[HR_Analytics].[BusinessTravel].[All]" dimensionUniqueName="[HR_Analytics]" displayFolder="" count="0" memberValueDatatype="130" unbalanced="0"/>
    <cacheHierarchy uniqueName="[HR_Analytics].[DailyRate]" caption="DailyRate" attribute="1" defaultMemberUniqueName="[HR_Analytics].[DailyRate].[All]" allUniqueName="[HR_Analytics].[DailyRate].[All]" dimensionUniqueName="[HR_Analytics]" displayFolder="" count="0" memberValueDatatype="20" unbalanced="0"/>
    <cacheHierarchy uniqueName="[HR_Analytics].[Department]" caption="Department" attribute="1" defaultMemberUniqueName="[HR_Analytics].[Department].[All]" allUniqueName="[HR_Analytics].[Department].[All]" dimensionUniqueName="[HR_Analytics]" displayFolder="" count="2" memberValueDatatype="130" unbalanced="0">
      <fieldsUsage count="2">
        <fieldUsage x="-1"/>
        <fieldUsage x="2"/>
      </fieldsUsage>
    </cacheHierarchy>
    <cacheHierarchy uniqueName="[HR_Analytics].[DistanceFromHome]" caption="DistanceFromHome" attribute="1" defaultMemberUniqueName="[HR_Analytics].[DistanceFromHome].[All]" allUniqueName="[HR_Analytics].[DistanceFromHome].[All]" dimensionUniqueName="[HR_Analytics]" displayFolder="" count="0" memberValueDatatype="20" unbalanced="0"/>
    <cacheHierarchy uniqueName="[HR_Analytics].[Education]" caption="Education" attribute="1" defaultMemberUniqueName="[HR_Analytics].[Education].[All]" allUniqueName="[HR_Analytics].[Education].[All]" dimensionUniqueName="[HR_Analytics]" displayFolder="" count="0" memberValueDatatype="20" unbalanced="0"/>
    <cacheHierarchy uniqueName="[HR_Analytics].[EducationField]" caption="EducationField" attribute="1" defaultMemberUniqueName="[HR_Analytics].[EducationField].[All]" allUniqueName="[HR_Analytics].[EducationField].[All]" dimensionUniqueName="[HR_Analytics]" displayFolder="" count="0" memberValueDatatype="130" unbalanced="0"/>
    <cacheHierarchy uniqueName="[HR_Analytics].[EmployeeCount]" caption="EmployeeCount" attribute="1" defaultMemberUniqueName="[HR_Analytics].[EmployeeCount].[All]" allUniqueName="[HR_Analytics].[EmployeeCount].[All]" dimensionUniqueName="[HR_Analytics]" displayFolder="" count="0" memberValueDatatype="20" unbalanced="0"/>
    <cacheHierarchy uniqueName="[HR_Analytics].[EmployeeNumber]" caption="EmployeeNumber" attribute="1" defaultMemberUniqueName="[HR_Analytics].[EmployeeNumber].[All]" allUniqueName="[HR_Analytics].[EmployeeNumber].[All]" dimensionUniqueName="[HR_Analytics]" displayFolder="" count="0" memberValueDatatype="20" unbalanced="0"/>
    <cacheHierarchy uniqueName="[HR_Analytics].[EnvironmentSatisfaction]" caption="EnvironmentSatisfaction" attribute="1" defaultMemberUniqueName="[HR_Analytics].[EnvironmentSatisfaction].[All]" allUniqueName="[HR_Analytics].[EnvironmentSatisfaction].[All]" dimensionUniqueName="[HR_Analytics]" displayFolder="" count="0" memberValueDatatype="20" unbalanced="0"/>
    <cacheHierarchy uniqueName="[HR_Analytics].[Gender]" caption="Gender" attribute="1" defaultMemberUniqueName="[HR_Analytics].[Gender].[All]" allUniqueName="[HR_Analytics].[Gender].[All]" dimensionUniqueName="[HR_Analytics]" displayFolder="" count="0" memberValueDatatype="130" unbalanced="0"/>
    <cacheHierarchy uniqueName="[HR_Analytics].[HourlyRate]" caption="HourlyRate" attribute="1" defaultMemberUniqueName="[HR_Analytics].[HourlyRate].[All]" allUniqueName="[HR_Analytics].[HourlyRate].[All]" dimensionUniqueName="[HR_Analytics]" displayFolder="" count="0" memberValueDatatype="20" unbalanced="0"/>
    <cacheHierarchy uniqueName="[HR_Analytics].[JobInvolvement]" caption="JobInvolvement" attribute="1" defaultMemberUniqueName="[HR_Analytics].[JobInvolvement].[All]" allUniqueName="[HR_Analytics].[JobInvolvement].[All]" dimensionUniqueName="[HR_Analytics]" displayFolder="" count="0" memberValueDatatype="20" unbalanced="0"/>
    <cacheHierarchy uniqueName="[HR_Analytics].[JobLevel]" caption="JobLevel" attribute="1" defaultMemberUniqueName="[HR_Analytics].[JobLevel].[All]" allUniqueName="[HR_Analytics].[JobLevel].[All]" dimensionUniqueName="[HR_Analytics]" displayFolder="" count="0" memberValueDatatype="20" unbalanced="0"/>
    <cacheHierarchy uniqueName="[HR_Analytics].[JobRole]" caption="JobRole" attribute="1" defaultMemberUniqueName="[HR_Analytics].[JobRole].[All]" allUniqueName="[HR_Analytics].[JobRole].[All]" dimensionUniqueName="[HR_Analytics]" displayFolder="" count="0" memberValueDatatype="130" unbalanced="0"/>
    <cacheHierarchy uniqueName="[HR_Analytics].[JobSatisfaction]" caption="JobSatisfaction" attribute="1" defaultMemberUniqueName="[HR_Analytics].[JobSatisfaction].[All]" allUniqueName="[HR_Analytics].[JobSatisfaction].[All]" dimensionUniqueName="[HR_Analytics]" displayFolder="" count="0" memberValueDatatype="20" unbalanced="0"/>
    <cacheHierarchy uniqueName="[HR_Analytics].[MaritalStatus]" caption="MaritalStatus" attribute="1" defaultMemberUniqueName="[HR_Analytics].[MaritalStatus].[All]" allUniqueName="[HR_Analytics].[MaritalStatus].[All]" dimensionUniqueName="[HR_Analytics]" displayFolder="" count="0" memberValueDatatype="130" unbalanced="0"/>
    <cacheHierarchy uniqueName="[HR_Analytics].[MonthlyIncome]" caption="MonthlyIncome" attribute="1" defaultMemberUniqueName="[HR_Analytics].[MonthlyIncome].[All]" allUniqueName="[HR_Analytics].[MonthlyIncome].[All]" dimensionUniqueName="[HR_Analytics]" displayFolder="" count="0" memberValueDatatype="20" unbalanced="0"/>
    <cacheHierarchy uniqueName="[HR_Analytics].[SalarySlab]" caption="SalarySlab" attribute="1" defaultMemberUniqueName="[HR_Analytics].[SalarySlab].[All]" allUniqueName="[HR_Analytics].[SalarySlab].[All]" dimensionUniqueName="[HR_Analytics]" displayFolder="" count="2" memberValueDatatype="130" unbalanced="0"/>
    <cacheHierarchy uniqueName="[HR_Analytics].[MonthlyRate]" caption="MonthlyRate" attribute="1" defaultMemberUniqueName="[HR_Analytics].[MonthlyRate].[All]" allUniqueName="[HR_Analytics].[MonthlyRate].[All]" dimensionUniqueName="[HR_Analytics]" displayFolder="" count="0" memberValueDatatype="20" unbalanced="0"/>
    <cacheHierarchy uniqueName="[HR_Analytics].[NumCompaniesWorked]" caption="NumCompaniesWorked" attribute="1" defaultMemberUniqueName="[HR_Analytics].[NumCompaniesWorked].[All]" allUniqueName="[HR_Analytics].[NumCompaniesWorked].[All]" dimensionUniqueName="[HR_Analytics]" displayFolder="" count="0" memberValueDatatype="20" unbalanced="0"/>
    <cacheHierarchy uniqueName="[HR_Analytics].[Over18]" caption="Over18" attribute="1" defaultMemberUniqueName="[HR_Analytics].[Over18].[All]" allUniqueName="[HR_Analytics].[Over18].[All]" dimensionUniqueName="[HR_Analytics]" displayFolder="" count="0" memberValueDatatype="130" unbalanced="0"/>
    <cacheHierarchy uniqueName="[HR_Analytics].[OverTime]" caption="OverTime" attribute="1" defaultMemberUniqueName="[HR_Analytics].[OverTime].[All]" allUniqueName="[HR_Analytics].[OverTime].[All]" dimensionUniqueName="[HR_Analytics]" displayFolder="" count="0" memberValueDatatype="130" unbalanced="0"/>
    <cacheHierarchy uniqueName="[HR_Analytics].[PercentSalaryHike]" caption="PercentSalaryHike" attribute="1" defaultMemberUniqueName="[HR_Analytics].[PercentSalaryHike].[All]" allUniqueName="[HR_Analytics].[PercentSalaryHike].[All]" dimensionUniqueName="[HR_Analytics]" displayFolder="" count="0" memberValueDatatype="20" unbalanced="0"/>
    <cacheHierarchy uniqueName="[HR_Analytics].[PerformanceRating]" caption="PerformanceRating" attribute="1" defaultMemberUniqueName="[HR_Analytics].[PerformanceRating].[All]" allUniqueName="[HR_Analytics].[PerformanceRating].[All]" dimensionUniqueName="[HR_Analytics]" displayFolder="" count="0" memberValueDatatype="20" unbalanced="0"/>
    <cacheHierarchy uniqueName="[HR_Analytics].[RelationshipSatisfaction]" caption="RelationshipSatisfaction" attribute="1" defaultMemberUniqueName="[HR_Analytics].[RelationshipSatisfaction].[All]" allUniqueName="[HR_Analytics].[RelationshipSatisfaction].[All]" dimensionUniqueName="[HR_Analytics]" displayFolder="" count="0" memberValueDatatype="20" unbalanced="0"/>
    <cacheHierarchy uniqueName="[HR_Analytics].[StandardHours]" caption="StandardHours" attribute="1" defaultMemberUniqueName="[HR_Analytics].[StandardHours].[All]" allUniqueName="[HR_Analytics].[StandardHours].[All]" dimensionUniqueName="[HR_Analytics]" displayFolder="" count="0" memberValueDatatype="20" unbalanced="0"/>
    <cacheHierarchy uniqueName="[HR_Analytics].[StockOptionLevel]" caption="StockOptionLevel" attribute="1" defaultMemberUniqueName="[HR_Analytics].[StockOptionLevel].[All]" allUniqueName="[HR_Analytics].[StockOptionLevel].[All]" dimensionUniqueName="[HR_Analytics]" displayFolder="" count="0" memberValueDatatype="20" unbalanced="0"/>
    <cacheHierarchy uniqueName="[HR_Analytics].[TotalWorkingYears]" caption="TotalWorkingYears" attribute="1" defaultMemberUniqueName="[HR_Analytics].[TotalWorkingYears].[All]" allUniqueName="[HR_Analytics].[TotalWorkingYears].[All]" dimensionUniqueName="[HR_Analytics]" displayFolder="" count="0" memberValueDatatype="20" unbalanced="0"/>
    <cacheHierarchy uniqueName="[HR_Analytics].[TrainingTimesLastYear]" caption="TrainingTimesLastYear" attribute="1" defaultMemberUniqueName="[HR_Analytics].[TrainingTimesLastYear].[All]" allUniqueName="[HR_Analytics].[TrainingTimesLastYear].[All]" dimensionUniqueName="[HR_Analytics]" displayFolder="" count="0" memberValueDatatype="20" unbalanced="0"/>
    <cacheHierarchy uniqueName="[HR_Analytics].[WorkLifeBalance]" caption="WorkLifeBalance" attribute="1" defaultMemberUniqueName="[HR_Analytics].[WorkLifeBalance].[All]" allUniqueName="[HR_Analytics].[WorkLifeBalance].[All]" dimensionUniqueName="[HR_Analytics]" displayFolder="" count="0" memberValueDatatype="20" unbalanced="0"/>
    <cacheHierarchy uniqueName="[HR_Analytics].[YearsAtCompany]" caption="YearsAtCompany" attribute="1" defaultMemberUniqueName="[HR_Analytics].[YearsAtCompany].[All]" allUniqueName="[HR_Analytics].[YearsAtCompany].[All]" dimensionUniqueName="[HR_Analytics]" displayFolder="" count="0" memberValueDatatype="20" unbalanced="0"/>
    <cacheHierarchy uniqueName="[HR_Analytics].[YearsInCurrentRole]" caption="YearsInCurrentRole" attribute="1" defaultMemberUniqueName="[HR_Analytics].[YearsInCurrentRole].[All]" allUniqueName="[HR_Analytics].[YearsInCurrentRole].[All]" dimensionUniqueName="[HR_Analytics]" displayFolder="" count="0" memberValueDatatype="20" unbalanced="0"/>
    <cacheHierarchy uniqueName="[HR_Analytics].[YearsSinceLastPromotion]" caption="YearsSinceLastPromotion" attribute="1" defaultMemberUniqueName="[HR_Analytics].[YearsSinceLastPromotion].[All]" allUniqueName="[HR_Analytics].[YearsSinceLastPromotion].[All]" dimensionUniqueName="[HR_Analytics]" displayFolder="" count="0" memberValueDatatype="20" unbalanced="0"/>
    <cacheHierarchy uniqueName="[HR_Analytics].[YearsWithCurrManager]" caption="YearsWithCurrManager" attribute="1" defaultMemberUniqueName="[HR_Analytics].[YearsWithCurrManager].[All]" allUniqueName="[HR_Analytics].[YearsWithCurrManager].[All]" dimensionUniqueName="[HR_Analytics]" displayFolder="" count="0" memberValueDatatype="5" unbalanced="0"/>
    <cacheHierarchy uniqueName="[Table1].[Column]" caption="Column" attribute="1" defaultMemberUniqueName="[Table1].[Column].[All]" allUniqueName="[Table1].[Column].[All]" dimensionUniqueName="[Table1]" displayFolder="" count="0" memberValueDatatype="130" unbalanced="0"/>
    <cacheHierarchy uniqueName="[Table1].[المعنى بالعربي]" caption="المعنى بالعربي" attribute="1" defaultMemberUniqueName="[Table1].[المعنى بالعربي].[All]" allUniqueName="[Table1].[المعنى بالعربي].[All]" dimensionUniqueName="[Table1]" displayFolder="" count="0" memberValueDatatype="130" unbalanced="0"/>
    <cacheHierarchy uniqueName="[Measures].[Total Employess]" caption="Total Employess" measure="1" displayFolder="" measureGroup="HR_Analytics" count="0"/>
    <cacheHierarchy uniqueName="[Measures].[Attrition Rate]" caption="Attrition Rate" measure="1" displayFolder="" measureGroup="HR_Analytics" count="0" oneField="1">
      <fieldsUsage count="1">
        <fieldUsage x="0"/>
      </fieldsUsage>
    </cacheHierarchy>
    <cacheHierarchy uniqueName="[Measures].[Overtime Rate]" caption="Overtime Rate" measure="1" displayFolder="" measureGroup="HR_Analytics" count="0"/>
    <cacheHierarchy uniqueName="[Measures].[Stasfaction Score]" caption="Stasfaction Score" measure="1" displayFolder="" measureGroup="HR_Analytics" count="0"/>
    <cacheHierarchy uniqueName="[Measures].[Monthly Income]" caption="Monthly Income" measure="1" displayFolder="" measureGroup="HR_Analytics" count="0"/>
    <cacheHierarchy uniqueName="[Measures].[Avg Age]" caption="Avg Age" measure="1" displayFolder="" measureGroup="HR_Analytics" count="0"/>
    <cacheHierarchy uniqueName="[Measures].[Avg Tenure]" caption="Avg Tenure" measure="1" displayFolder="" measureGroup="HR_Analytics" count="0"/>
    <cacheHierarchy uniqueName="[Measures].[Avg Env Sat]" caption="Avg Env Sat" measure="1" displayFolder="" measureGroup="HR_Analytics" count="0"/>
    <cacheHierarchy uniqueName="[Measures].[Avg WLB]" caption="Avg WLB" measure="1" displayFolder="" measureGroup="HR_Analytics" count="0"/>
    <cacheHierarchy uniqueName="[Measures].[__XL_Count Table1]" caption="__XL_Count Table1" measure="1" displayFolder="" measureGroup="Table1" count="0" hidden="1"/>
    <cacheHierarchy uniqueName="[Measures].[__XL_Count HR_Analytics]" caption="__XL_Count HR_Analytics" measure="1" displayFolder="" measureGroup="HR_Analytics" count="0" hidden="1"/>
    <cacheHierarchy uniqueName="[Measures].[__No measures defined]" caption="__No measures defined" measure="1" displayFolder="" count="0" hidden="1"/>
    <cacheHierarchy uniqueName="[Measures].[Sum of Age]" caption="Sum of Age" measure="1" displayFolder="" measureGroup="HR_Analytics" count="0" hidden="1">
      <extLst>
        <ext xmlns:x15="http://schemas.microsoft.com/office/spreadsheetml/2010/11/main" uri="{B97F6D7D-B522-45F9-BDA1-12C45D357490}">
          <x15:cacheHierarchy aggregatedColumn="1"/>
        </ext>
      </extLst>
    </cacheHierarchy>
    <cacheHierarchy uniqueName="[Measures].[Count of Attrition]" caption="Count of Attrition" measure="1" displayFolder="" measureGroup="HR_Analytics" count="0" hidden="1">
      <extLst>
        <ext xmlns:x15="http://schemas.microsoft.com/office/spreadsheetml/2010/11/main" uri="{B97F6D7D-B522-45F9-BDA1-12C45D357490}">
          <x15:cacheHierarchy aggregatedColumn="3"/>
        </ext>
      </extLst>
    </cacheHierarchy>
    <cacheHierarchy uniqueName="[Measures].[Count of OverTime]" caption="Count of OverTime" measure="1" displayFolder="" measureGroup="HR_Analytics" count="0" hidden="1">
      <extLst>
        <ext xmlns:x15="http://schemas.microsoft.com/office/spreadsheetml/2010/11/main" uri="{B97F6D7D-B522-45F9-BDA1-12C45D357490}">
          <x15:cacheHierarchy aggregatedColumn="25"/>
        </ext>
      </extLst>
    </cacheHierarchy>
    <cacheHierarchy uniqueName="[Measures].[Count of Department]" caption="Count of Department" measure="1" displayFolder="" measureGroup="HR_Analytics" count="0" hidden="1">
      <extLst>
        <ext xmlns:x15="http://schemas.microsoft.com/office/spreadsheetml/2010/11/main" uri="{B97F6D7D-B522-45F9-BDA1-12C45D357490}">
          <x15:cacheHierarchy aggregatedColumn="6"/>
        </ext>
      </extLst>
    </cacheHierarchy>
  </cacheHierarchies>
  <kpis count="0"/>
  <dimensions count="3">
    <dimension name="HR_Analytics" uniqueName="[HR_Analytics]" caption="HR_Analytics"/>
    <dimension measure="1" name="Measures" uniqueName="[Measures]" caption="Measures"/>
    <dimension name="Table1" uniqueName="[Table1]" caption="Table1"/>
  </dimensions>
  <measureGroups count="2">
    <measureGroup name="HR_Analytics" caption="HR_Analytics"/>
    <measureGroup name="Table1" caption="Table1"/>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323.833603009261" backgroundQuery="1" createdVersion="8" refreshedVersion="8" minRefreshableVersion="3" recordCount="0" supportSubquery="1" supportAdvancedDrill="1" xr:uid="{69FB8C4E-3B57-4958-983C-145FC3F46AD2}">
  <cacheSource type="external" connectionId="2"/>
  <cacheFields count="3">
    <cacheField name="[Measures].[Monthly Income]" caption="Monthly Income" numFmtId="0" hierarchy="44" level="32767"/>
    <cacheField name="[HR_Analytics].[JobLevel].[JobLevel]" caption="JobLevel" numFmtId="0" hierarchy="16" level="1">
      <sharedItems containsSemiMixedTypes="0" containsString="0" containsNumber="1" containsInteger="1" minValue="1" maxValue="5" count="5">
        <n v="1"/>
        <n v="2"/>
        <n v="3"/>
        <n v="4"/>
        <n v="5"/>
      </sharedItems>
      <extLst>
        <ext xmlns:x15="http://schemas.microsoft.com/office/spreadsheetml/2010/11/main" uri="{4F2E5C28-24EA-4eb8-9CBF-B6C8F9C3D259}">
          <x15:cachedUniqueNames>
            <x15:cachedUniqueName index="0" name="[HR_Analytics].[JobLevel].&amp;[1]"/>
            <x15:cachedUniqueName index="1" name="[HR_Analytics].[JobLevel].&amp;[2]"/>
            <x15:cachedUniqueName index="2" name="[HR_Analytics].[JobLevel].&amp;[3]"/>
            <x15:cachedUniqueName index="3" name="[HR_Analytics].[JobLevel].&amp;[4]"/>
            <x15:cachedUniqueName index="4" name="[HR_Analytics].[JobLevel].&amp;[5]"/>
          </x15:cachedUniqueNames>
        </ext>
      </extLst>
    </cacheField>
    <cacheField name="[HR_Analytics].[Department].[Department]" caption="Department" numFmtId="0" hierarchy="6" level="1">
      <sharedItems containsSemiMixedTypes="0" containsNonDate="0" containsString="0"/>
    </cacheField>
  </cacheFields>
  <cacheHierarchies count="56">
    <cacheHierarchy uniqueName="[HR_Analytics].[EmpID]" caption="EmpID" attribute="1" defaultMemberUniqueName="[HR_Analytics].[EmpID].[All]" allUniqueName="[HR_Analytics].[EmpID].[All]" dimensionUniqueName="[HR_Analytics]" displayFolder="" count="0" memberValueDatatype="130" unbalanced="0"/>
    <cacheHierarchy uniqueName="[HR_Analytics].[Age]" caption="Age" attribute="1" defaultMemberUniqueName="[HR_Analytics].[Age].[All]" allUniqueName="[HR_Analytics].[Age].[All]" dimensionUniqueName="[HR_Analytics]" displayFolder="" count="0" memberValueDatatype="20" unbalanced="0"/>
    <cacheHierarchy uniqueName="[HR_Analytics].[AgeGroup]" caption="AgeGroup" attribute="1" defaultMemberUniqueName="[HR_Analytics].[AgeGroup].[All]" allUniqueName="[HR_Analytics].[AgeGroup].[All]" dimensionUniqueName="[HR_Analytics]" displayFolder="" count="0" memberValueDatatype="130" unbalanced="0"/>
    <cacheHierarchy uniqueName="[HR_Analytics].[Attrition]" caption="Attrition" attribute="1" defaultMemberUniqueName="[HR_Analytics].[Attrition].[All]" allUniqueName="[HR_Analytics].[Attrition].[All]" dimensionUniqueName="[HR_Analytics]" displayFolder="" count="0" memberValueDatatype="130" unbalanced="0"/>
    <cacheHierarchy uniqueName="[HR_Analytics].[BusinessTravel]" caption="BusinessTravel" attribute="1" defaultMemberUniqueName="[HR_Analytics].[BusinessTravel].[All]" allUniqueName="[HR_Analytics].[BusinessTravel].[All]" dimensionUniqueName="[HR_Analytics]" displayFolder="" count="0" memberValueDatatype="130" unbalanced="0"/>
    <cacheHierarchy uniqueName="[HR_Analytics].[DailyRate]" caption="DailyRate" attribute="1" defaultMemberUniqueName="[HR_Analytics].[DailyRate].[All]" allUniqueName="[HR_Analytics].[DailyRate].[All]" dimensionUniqueName="[HR_Analytics]" displayFolder="" count="0" memberValueDatatype="20" unbalanced="0"/>
    <cacheHierarchy uniqueName="[HR_Analytics].[Department]" caption="Department" attribute="1" defaultMemberUniqueName="[HR_Analytics].[Department].[All]" allUniqueName="[HR_Analytics].[Department].[All]" dimensionUniqueName="[HR_Analytics]" displayFolder="" count="2" memberValueDatatype="130" unbalanced="0">
      <fieldsUsage count="2">
        <fieldUsage x="-1"/>
        <fieldUsage x="2"/>
      </fieldsUsage>
    </cacheHierarchy>
    <cacheHierarchy uniqueName="[HR_Analytics].[DistanceFromHome]" caption="DistanceFromHome" attribute="1" defaultMemberUniqueName="[HR_Analytics].[DistanceFromHome].[All]" allUniqueName="[HR_Analytics].[DistanceFromHome].[All]" dimensionUniqueName="[HR_Analytics]" displayFolder="" count="0" memberValueDatatype="20" unbalanced="0"/>
    <cacheHierarchy uniqueName="[HR_Analytics].[Education]" caption="Education" attribute="1" defaultMemberUniqueName="[HR_Analytics].[Education].[All]" allUniqueName="[HR_Analytics].[Education].[All]" dimensionUniqueName="[HR_Analytics]" displayFolder="" count="0" memberValueDatatype="20" unbalanced="0"/>
    <cacheHierarchy uniqueName="[HR_Analytics].[EducationField]" caption="EducationField" attribute="1" defaultMemberUniqueName="[HR_Analytics].[EducationField].[All]" allUniqueName="[HR_Analytics].[EducationField].[All]" dimensionUniqueName="[HR_Analytics]" displayFolder="" count="0" memberValueDatatype="130" unbalanced="0"/>
    <cacheHierarchy uniqueName="[HR_Analytics].[EmployeeCount]" caption="EmployeeCount" attribute="1" defaultMemberUniqueName="[HR_Analytics].[EmployeeCount].[All]" allUniqueName="[HR_Analytics].[EmployeeCount].[All]" dimensionUniqueName="[HR_Analytics]" displayFolder="" count="0" memberValueDatatype="20" unbalanced="0"/>
    <cacheHierarchy uniqueName="[HR_Analytics].[EmployeeNumber]" caption="EmployeeNumber" attribute="1" defaultMemberUniqueName="[HR_Analytics].[EmployeeNumber].[All]" allUniqueName="[HR_Analytics].[EmployeeNumber].[All]" dimensionUniqueName="[HR_Analytics]" displayFolder="" count="0" memberValueDatatype="20" unbalanced="0"/>
    <cacheHierarchy uniqueName="[HR_Analytics].[EnvironmentSatisfaction]" caption="EnvironmentSatisfaction" attribute="1" defaultMemberUniqueName="[HR_Analytics].[EnvironmentSatisfaction].[All]" allUniqueName="[HR_Analytics].[EnvironmentSatisfaction].[All]" dimensionUniqueName="[HR_Analytics]" displayFolder="" count="0" memberValueDatatype="20" unbalanced="0"/>
    <cacheHierarchy uniqueName="[HR_Analytics].[Gender]" caption="Gender" attribute="1" defaultMemberUniqueName="[HR_Analytics].[Gender].[All]" allUniqueName="[HR_Analytics].[Gender].[All]" dimensionUniqueName="[HR_Analytics]" displayFolder="" count="0" memberValueDatatype="130" unbalanced="0"/>
    <cacheHierarchy uniqueName="[HR_Analytics].[HourlyRate]" caption="HourlyRate" attribute="1" defaultMemberUniqueName="[HR_Analytics].[HourlyRate].[All]" allUniqueName="[HR_Analytics].[HourlyRate].[All]" dimensionUniqueName="[HR_Analytics]" displayFolder="" count="0" memberValueDatatype="20" unbalanced="0"/>
    <cacheHierarchy uniqueName="[HR_Analytics].[JobInvolvement]" caption="JobInvolvement" attribute="1" defaultMemberUniqueName="[HR_Analytics].[JobInvolvement].[All]" allUniqueName="[HR_Analytics].[JobInvolvement].[All]" dimensionUniqueName="[HR_Analytics]" displayFolder="" count="0" memberValueDatatype="20" unbalanced="0"/>
    <cacheHierarchy uniqueName="[HR_Analytics].[JobLevel]" caption="JobLevel" attribute="1" defaultMemberUniqueName="[HR_Analytics].[JobLevel].[All]" allUniqueName="[HR_Analytics].[JobLevel].[All]" dimensionUniqueName="[HR_Analytics]" displayFolder="" count="2" memberValueDatatype="20" unbalanced="0">
      <fieldsUsage count="2">
        <fieldUsage x="-1"/>
        <fieldUsage x="1"/>
      </fieldsUsage>
    </cacheHierarchy>
    <cacheHierarchy uniqueName="[HR_Analytics].[JobRole]" caption="JobRole" attribute="1" defaultMemberUniqueName="[HR_Analytics].[JobRole].[All]" allUniqueName="[HR_Analytics].[JobRole].[All]" dimensionUniqueName="[HR_Analytics]" displayFolder="" count="0" memberValueDatatype="130" unbalanced="0"/>
    <cacheHierarchy uniqueName="[HR_Analytics].[JobSatisfaction]" caption="JobSatisfaction" attribute="1" defaultMemberUniqueName="[HR_Analytics].[JobSatisfaction].[All]" allUniqueName="[HR_Analytics].[JobSatisfaction].[All]" dimensionUniqueName="[HR_Analytics]" displayFolder="" count="0" memberValueDatatype="20" unbalanced="0"/>
    <cacheHierarchy uniqueName="[HR_Analytics].[MaritalStatus]" caption="MaritalStatus" attribute="1" defaultMemberUniqueName="[HR_Analytics].[MaritalStatus].[All]" allUniqueName="[HR_Analytics].[MaritalStatus].[All]" dimensionUniqueName="[HR_Analytics]" displayFolder="" count="0" memberValueDatatype="130" unbalanced="0"/>
    <cacheHierarchy uniqueName="[HR_Analytics].[MonthlyIncome]" caption="MonthlyIncome" attribute="1" defaultMemberUniqueName="[HR_Analytics].[MonthlyIncome].[All]" allUniqueName="[HR_Analytics].[MonthlyIncome].[All]" dimensionUniqueName="[HR_Analytics]" displayFolder="" count="0" memberValueDatatype="20" unbalanced="0"/>
    <cacheHierarchy uniqueName="[HR_Analytics].[SalarySlab]" caption="SalarySlab" attribute="1" defaultMemberUniqueName="[HR_Analytics].[SalarySlab].[All]" allUniqueName="[HR_Analytics].[SalarySlab].[All]" dimensionUniqueName="[HR_Analytics]" displayFolder="" count="2" memberValueDatatype="130" unbalanced="0"/>
    <cacheHierarchy uniqueName="[HR_Analytics].[MonthlyRate]" caption="MonthlyRate" attribute="1" defaultMemberUniqueName="[HR_Analytics].[MonthlyRate].[All]" allUniqueName="[HR_Analytics].[MonthlyRate].[All]" dimensionUniqueName="[HR_Analytics]" displayFolder="" count="0" memberValueDatatype="20" unbalanced="0"/>
    <cacheHierarchy uniqueName="[HR_Analytics].[NumCompaniesWorked]" caption="NumCompaniesWorked" attribute="1" defaultMemberUniqueName="[HR_Analytics].[NumCompaniesWorked].[All]" allUniqueName="[HR_Analytics].[NumCompaniesWorked].[All]" dimensionUniqueName="[HR_Analytics]" displayFolder="" count="0" memberValueDatatype="20" unbalanced="0"/>
    <cacheHierarchy uniqueName="[HR_Analytics].[Over18]" caption="Over18" attribute="1" defaultMemberUniqueName="[HR_Analytics].[Over18].[All]" allUniqueName="[HR_Analytics].[Over18].[All]" dimensionUniqueName="[HR_Analytics]" displayFolder="" count="0" memberValueDatatype="130" unbalanced="0"/>
    <cacheHierarchy uniqueName="[HR_Analytics].[OverTime]" caption="OverTime" attribute="1" defaultMemberUniqueName="[HR_Analytics].[OverTime].[All]" allUniqueName="[HR_Analytics].[OverTime].[All]" dimensionUniqueName="[HR_Analytics]" displayFolder="" count="0" memberValueDatatype="130" unbalanced="0"/>
    <cacheHierarchy uniqueName="[HR_Analytics].[PercentSalaryHike]" caption="PercentSalaryHike" attribute="1" defaultMemberUniqueName="[HR_Analytics].[PercentSalaryHike].[All]" allUniqueName="[HR_Analytics].[PercentSalaryHike].[All]" dimensionUniqueName="[HR_Analytics]" displayFolder="" count="0" memberValueDatatype="20" unbalanced="0"/>
    <cacheHierarchy uniqueName="[HR_Analytics].[PerformanceRating]" caption="PerformanceRating" attribute="1" defaultMemberUniqueName="[HR_Analytics].[PerformanceRating].[All]" allUniqueName="[HR_Analytics].[PerformanceRating].[All]" dimensionUniqueName="[HR_Analytics]" displayFolder="" count="0" memberValueDatatype="20" unbalanced="0"/>
    <cacheHierarchy uniqueName="[HR_Analytics].[RelationshipSatisfaction]" caption="RelationshipSatisfaction" attribute="1" defaultMemberUniqueName="[HR_Analytics].[RelationshipSatisfaction].[All]" allUniqueName="[HR_Analytics].[RelationshipSatisfaction].[All]" dimensionUniqueName="[HR_Analytics]" displayFolder="" count="0" memberValueDatatype="20" unbalanced="0"/>
    <cacheHierarchy uniqueName="[HR_Analytics].[StandardHours]" caption="StandardHours" attribute="1" defaultMemberUniqueName="[HR_Analytics].[StandardHours].[All]" allUniqueName="[HR_Analytics].[StandardHours].[All]" dimensionUniqueName="[HR_Analytics]" displayFolder="" count="0" memberValueDatatype="20" unbalanced="0"/>
    <cacheHierarchy uniqueName="[HR_Analytics].[StockOptionLevel]" caption="StockOptionLevel" attribute="1" defaultMemberUniqueName="[HR_Analytics].[StockOptionLevel].[All]" allUniqueName="[HR_Analytics].[StockOptionLevel].[All]" dimensionUniqueName="[HR_Analytics]" displayFolder="" count="0" memberValueDatatype="20" unbalanced="0"/>
    <cacheHierarchy uniqueName="[HR_Analytics].[TotalWorkingYears]" caption="TotalWorkingYears" attribute="1" defaultMemberUniqueName="[HR_Analytics].[TotalWorkingYears].[All]" allUniqueName="[HR_Analytics].[TotalWorkingYears].[All]" dimensionUniqueName="[HR_Analytics]" displayFolder="" count="0" memberValueDatatype="20" unbalanced="0"/>
    <cacheHierarchy uniqueName="[HR_Analytics].[TrainingTimesLastYear]" caption="TrainingTimesLastYear" attribute="1" defaultMemberUniqueName="[HR_Analytics].[TrainingTimesLastYear].[All]" allUniqueName="[HR_Analytics].[TrainingTimesLastYear].[All]" dimensionUniqueName="[HR_Analytics]" displayFolder="" count="0" memberValueDatatype="20" unbalanced="0"/>
    <cacheHierarchy uniqueName="[HR_Analytics].[WorkLifeBalance]" caption="WorkLifeBalance" attribute="1" defaultMemberUniqueName="[HR_Analytics].[WorkLifeBalance].[All]" allUniqueName="[HR_Analytics].[WorkLifeBalance].[All]" dimensionUniqueName="[HR_Analytics]" displayFolder="" count="0" memberValueDatatype="20" unbalanced="0"/>
    <cacheHierarchy uniqueName="[HR_Analytics].[YearsAtCompany]" caption="YearsAtCompany" attribute="1" defaultMemberUniqueName="[HR_Analytics].[YearsAtCompany].[All]" allUniqueName="[HR_Analytics].[YearsAtCompany].[All]" dimensionUniqueName="[HR_Analytics]" displayFolder="" count="0" memberValueDatatype="20" unbalanced="0"/>
    <cacheHierarchy uniqueName="[HR_Analytics].[YearsInCurrentRole]" caption="YearsInCurrentRole" attribute="1" defaultMemberUniqueName="[HR_Analytics].[YearsInCurrentRole].[All]" allUniqueName="[HR_Analytics].[YearsInCurrentRole].[All]" dimensionUniqueName="[HR_Analytics]" displayFolder="" count="0" memberValueDatatype="20" unbalanced="0"/>
    <cacheHierarchy uniqueName="[HR_Analytics].[YearsSinceLastPromotion]" caption="YearsSinceLastPromotion" attribute="1" defaultMemberUniqueName="[HR_Analytics].[YearsSinceLastPromotion].[All]" allUniqueName="[HR_Analytics].[YearsSinceLastPromotion].[All]" dimensionUniqueName="[HR_Analytics]" displayFolder="" count="0" memberValueDatatype="20" unbalanced="0"/>
    <cacheHierarchy uniqueName="[HR_Analytics].[YearsWithCurrManager]" caption="YearsWithCurrManager" attribute="1" defaultMemberUniqueName="[HR_Analytics].[YearsWithCurrManager].[All]" allUniqueName="[HR_Analytics].[YearsWithCurrManager].[All]" dimensionUniqueName="[HR_Analytics]" displayFolder="" count="0" memberValueDatatype="5" unbalanced="0"/>
    <cacheHierarchy uniqueName="[Table1].[Column]" caption="Column" attribute="1" defaultMemberUniqueName="[Table1].[Column].[All]" allUniqueName="[Table1].[Column].[All]" dimensionUniqueName="[Table1]" displayFolder="" count="0" memberValueDatatype="130" unbalanced="0"/>
    <cacheHierarchy uniqueName="[Table1].[المعنى بالعربي]" caption="المعنى بالعربي" attribute="1" defaultMemberUniqueName="[Table1].[المعنى بالعربي].[All]" allUniqueName="[Table1].[المعنى بالعربي].[All]" dimensionUniqueName="[Table1]" displayFolder="" count="0" memberValueDatatype="130" unbalanced="0"/>
    <cacheHierarchy uniqueName="[Measures].[Total Employess]" caption="Total Employess" measure="1" displayFolder="" measureGroup="HR_Analytics" count="0"/>
    <cacheHierarchy uniqueName="[Measures].[Attrition Rate]" caption="Attrition Rate" measure="1" displayFolder="" measureGroup="HR_Analytics" count="0"/>
    <cacheHierarchy uniqueName="[Measures].[Overtime Rate]" caption="Overtime Rate" measure="1" displayFolder="" measureGroup="HR_Analytics" count="0"/>
    <cacheHierarchy uniqueName="[Measures].[Stasfaction Score]" caption="Stasfaction Score" measure="1" displayFolder="" measureGroup="HR_Analytics" count="0"/>
    <cacheHierarchy uniqueName="[Measures].[Monthly Income]" caption="Monthly Income" measure="1" displayFolder="" measureGroup="HR_Analytics" count="0" oneField="1">
      <fieldsUsage count="1">
        <fieldUsage x="0"/>
      </fieldsUsage>
    </cacheHierarchy>
    <cacheHierarchy uniqueName="[Measures].[Avg Age]" caption="Avg Age" measure="1" displayFolder="" measureGroup="HR_Analytics" count="0"/>
    <cacheHierarchy uniqueName="[Measures].[Avg Tenure]" caption="Avg Tenure" measure="1" displayFolder="" measureGroup="HR_Analytics" count="0"/>
    <cacheHierarchy uniqueName="[Measures].[Avg Env Sat]" caption="Avg Env Sat" measure="1" displayFolder="" measureGroup="HR_Analytics" count="0"/>
    <cacheHierarchy uniqueName="[Measures].[Avg WLB]" caption="Avg WLB" measure="1" displayFolder="" measureGroup="HR_Analytics" count="0"/>
    <cacheHierarchy uniqueName="[Measures].[__XL_Count Table1]" caption="__XL_Count Table1" measure="1" displayFolder="" measureGroup="Table1" count="0" hidden="1"/>
    <cacheHierarchy uniqueName="[Measures].[__XL_Count HR_Analytics]" caption="__XL_Count HR_Analytics" measure="1" displayFolder="" measureGroup="HR_Analytics" count="0" hidden="1"/>
    <cacheHierarchy uniqueName="[Measures].[__No measures defined]" caption="__No measures defined" measure="1" displayFolder="" count="0" hidden="1"/>
    <cacheHierarchy uniqueName="[Measures].[Sum of Age]" caption="Sum of Age" measure="1" displayFolder="" measureGroup="HR_Analytics" count="0" hidden="1">
      <extLst>
        <ext xmlns:x15="http://schemas.microsoft.com/office/spreadsheetml/2010/11/main" uri="{B97F6D7D-B522-45F9-BDA1-12C45D357490}">
          <x15:cacheHierarchy aggregatedColumn="1"/>
        </ext>
      </extLst>
    </cacheHierarchy>
    <cacheHierarchy uniqueName="[Measures].[Count of Attrition]" caption="Count of Attrition" measure="1" displayFolder="" measureGroup="HR_Analytics" count="0" hidden="1">
      <extLst>
        <ext xmlns:x15="http://schemas.microsoft.com/office/spreadsheetml/2010/11/main" uri="{B97F6D7D-B522-45F9-BDA1-12C45D357490}">
          <x15:cacheHierarchy aggregatedColumn="3"/>
        </ext>
      </extLst>
    </cacheHierarchy>
    <cacheHierarchy uniqueName="[Measures].[Count of OverTime]" caption="Count of OverTime" measure="1" displayFolder="" measureGroup="HR_Analytics" count="0" hidden="1">
      <extLst>
        <ext xmlns:x15="http://schemas.microsoft.com/office/spreadsheetml/2010/11/main" uri="{B97F6D7D-B522-45F9-BDA1-12C45D357490}">
          <x15:cacheHierarchy aggregatedColumn="25"/>
        </ext>
      </extLst>
    </cacheHierarchy>
    <cacheHierarchy uniqueName="[Measures].[Count of Department]" caption="Count of Department" measure="1" displayFolder="" measureGroup="HR_Analytics" count="0" hidden="1">
      <extLst>
        <ext xmlns:x15="http://schemas.microsoft.com/office/spreadsheetml/2010/11/main" uri="{B97F6D7D-B522-45F9-BDA1-12C45D357490}">
          <x15:cacheHierarchy aggregatedColumn="6"/>
        </ext>
      </extLst>
    </cacheHierarchy>
  </cacheHierarchies>
  <kpis count="0"/>
  <dimensions count="3">
    <dimension name="HR_Analytics" uniqueName="[HR_Analytics]" caption="HR_Analytics"/>
    <dimension measure="1" name="Measures" uniqueName="[Measures]" caption="Measures"/>
    <dimension name="Table1" uniqueName="[Table1]" caption="Table1"/>
  </dimensions>
  <measureGroups count="2">
    <measureGroup name="HR_Analytics" caption="HR_Analytics"/>
    <measureGroup name="Table1" caption="Table1"/>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323.833604050924" backgroundQuery="1" createdVersion="8" refreshedVersion="8" minRefreshableVersion="3" recordCount="0" supportSubquery="1" supportAdvancedDrill="1" xr:uid="{60EDF2B8-AD26-4353-A9E6-B440DEC642F2}">
  <cacheSource type="external" connectionId="2"/>
  <cacheFields count="3">
    <cacheField name="[Measures].[Total Employess]" caption="Total Employess" numFmtId="0" hierarchy="40" level="32767"/>
    <cacheField name="[HR_Analytics].[Gender].[Gender]" caption="Gender" numFmtId="0" hierarchy="13" level="1">
      <sharedItems count="2">
        <s v="Female"/>
        <s v="Male"/>
      </sharedItems>
    </cacheField>
    <cacheField name="[HR_Analytics].[Department].[Department]" caption="Department" numFmtId="0" hierarchy="6" level="1">
      <sharedItems containsSemiMixedTypes="0" containsNonDate="0" containsString="0"/>
    </cacheField>
  </cacheFields>
  <cacheHierarchies count="56">
    <cacheHierarchy uniqueName="[HR_Analytics].[EmpID]" caption="EmpID" attribute="1" defaultMemberUniqueName="[HR_Analytics].[EmpID].[All]" allUniqueName="[HR_Analytics].[EmpID].[All]" dimensionUniqueName="[HR_Analytics]" displayFolder="" count="0" memberValueDatatype="130" unbalanced="0"/>
    <cacheHierarchy uniqueName="[HR_Analytics].[Age]" caption="Age" attribute="1" defaultMemberUniqueName="[HR_Analytics].[Age].[All]" allUniqueName="[HR_Analytics].[Age].[All]" dimensionUniqueName="[HR_Analytics]" displayFolder="" count="0" memberValueDatatype="20" unbalanced="0"/>
    <cacheHierarchy uniqueName="[HR_Analytics].[AgeGroup]" caption="AgeGroup" attribute="1" defaultMemberUniqueName="[HR_Analytics].[AgeGroup].[All]" allUniqueName="[HR_Analytics].[AgeGroup].[All]" dimensionUniqueName="[HR_Analytics]" displayFolder="" count="0" memberValueDatatype="130" unbalanced="0"/>
    <cacheHierarchy uniqueName="[HR_Analytics].[Attrition]" caption="Attrition" attribute="1" defaultMemberUniqueName="[HR_Analytics].[Attrition].[All]" allUniqueName="[HR_Analytics].[Attrition].[All]" dimensionUniqueName="[HR_Analytics]" displayFolder="" count="0" memberValueDatatype="130" unbalanced="0"/>
    <cacheHierarchy uniqueName="[HR_Analytics].[BusinessTravel]" caption="BusinessTravel" attribute="1" defaultMemberUniqueName="[HR_Analytics].[BusinessTravel].[All]" allUniqueName="[HR_Analytics].[BusinessTravel].[All]" dimensionUniqueName="[HR_Analytics]" displayFolder="" count="0" memberValueDatatype="130" unbalanced="0"/>
    <cacheHierarchy uniqueName="[HR_Analytics].[DailyRate]" caption="DailyRate" attribute="1" defaultMemberUniqueName="[HR_Analytics].[DailyRate].[All]" allUniqueName="[HR_Analytics].[DailyRate].[All]" dimensionUniqueName="[HR_Analytics]" displayFolder="" count="0" memberValueDatatype="20" unbalanced="0"/>
    <cacheHierarchy uniqueName="[HR_Analytics].[Department]" caption="Department" attribute="1" defaultMemberUniqueName="[HR_Analytics].[Department].[All]" allUniqueName="[HR_Analytics].[Department].[All]" dimensionUniqueName="[HR_Analytics]" displayFolder="" count="2" memberValueDatatype="130" unbalanced="0">
      <fieldsUsage count="2">
        <fieldUsage x="-1"/>
        <fieldUsage x="2"/>
      </fieldsUsage>
    </cacheHierarchy>
    <cacheHierarchy uniqueName="[HR_Analytics].[DistanceFromHome]" caption="DistanceFromHome" attribute="1" defaultMemberUniqueName="[HR_Analytics].[DistanceFromHome].[All]" allUniqueName="[HR_Analytics].[DistanceFromHome].[All]" dimensionUniqueName="[HR_Analytics]" displayFolder="" count="0" memberValueDatatype="20" unbalanced="0"/>
    <cacheHierarchy uniqueName="[HR_Analytics].[Education]" caption="Education" attribute="1" defaultMemberUniqueName="[HR_Analytics].[Education].[All]" allUniqueName="[HR_Analytics].[Education].[All]" dimensionUniqueName="[HR_Analytics]" displayFolder="" count="0" memberValueDatatype="20" unbalanced="0"/>
    <cacheHierarchy uniqueName="[HR_Analytics].[EducationField]" caption="EducationField" attribute="1" defaultMemberUniqueName="[HR_Analytics].[EducationField].[All]" allUniqueName="[HR_Analytics].[EducationField].[All]" dimensionUniqueName="[HR_Analytics]" displayFolder="" count="0" memberValueDatatype="130" unbalanced="0"/>
    <cacheHierarchy uniqueName="[HR_Analytics].[EmployeeCount]" caption="EmployeeCount" attribute="1" defaultMemberUniqueName="[HR_Analytics].[EmployeeCount].[All]" allUniqueName="[HR_Analytics].[EmployeeCount].[All]" dimensionUniqueName="[HR_Analytics]" displayFolder="" count="0" memberValueDatatype="20" unbalanced="0"/>
    <cacheHierarchy uniqueName="[HR_Analytics].[EmployeeNumber]" caption="EmployeeNumber" attribute="1" defaultMemberUniqueName="[HR_Analytics].[EmployeeNumber].[All]" allUniqueName="[HR_Analytics].[EmployeeNumber].[All]" dimensionUniqueName="[HR_Analytics]" displayFolder="" count="0" memberValueDatatype="20" unbalanced="0"/>
    <cacheHierarchy uniqueName="[HR_Analytics].[EnvironmentSatisfaction]" caption="EnvironmentSatisfaction" attribute="1" defaultMemberUniqueName="[HR_Analytics].[EnvironmentSatisfaction].[All]" allUniqueName="[HR_Analytics].[EnvironmentSatisfaction].[All]" dimensionUniqueName="[HR_Analytics]" displayFolder="" count="0" memberValueDatatype="20" unbalanced="0"/>
    <cacheHierarchy uniqueName="[HR_Analytics].[Gender]" caption="Gender" attribute="1" defaultMemberUniqueName="[HR_Analytics].[Gender].[All]" allUniqueName="[HR_Analytics].[Gender].[All]" dimensionUniqueName="[HR_Analytics]" displayFolder="" count="2" memberValueDatatype="130" unbalanced="0">
      <fieldsUsage count="2">
        <fieldUsage x="-1"/>
        <fieldUsage x="1"/>
      </fieldsUsage>
    </cacheHierarchy>
    <cacheHierarchy uniqueName="[HR_Analytics].[HourlyRate]" caption="HourlyRate" attribute="1" defaultMemberUniqueName="[HR_Analytics].[HourlyRate].[All]" allUniqueName="[HR_Analytics].[HourlyRate].[All]" dimensionUniqueName="[HR_Analytics]" displayFolder="" count="0" memberValueDatatype="20" unbalanced="0"/>
    <cacheHierarchy uniqueName="[HR_Analytics].[JobInvolvement]" caption="JobInvolvement" attribute="1" defaultMemberUniqueName="[HR_Analytics].[JobInvolvement].[All]" allUniqueName="[HR_Analytics].[JobInvolvement].[All]" dimensionUniqueName="[HR_Analytics]" displayFolder="" count="0" memberValueDatatype="20" unbalanced="0"/>
    <cacheHierarchy uniqueName="[HR_Analytics].[JobLevel]" caption="JobLevel" attribute="1" defaultMemberUniqueName="[HR_Analytics].[JobLevel].[All]" allUniqueName="[HR_Analytics].[JobLevel].[All]" dimensionUniqueName="[HR_Analytics]" displayFolder="" count="0" memberValueDatatype="20" unbalanced="0"/>
    <cacheHierarchy uniqueName="[HR_Analytics].[JobRole]" caption="JobRole" attribute="1" defaultMemberUniqueName="[HR_Analytics].[JobRole].[All]" allUniqueName="[HR_Analytics].[JobRole].[All]" dimensionUniqueName="[HR_Analytics]" displayFolder="" count="0" memberValueDatatype="130" unbalanced="0"/>
    <cacheHierarchy uniqueName="[HR_Analytics].[JobSatisfaction]" caption="JobSatisfaction" attribute="1" defaultMemberUniqueName="[HR_Analytics].[JobSatisfaction].[All]" allUniqueName="[HR_Analytics].[JobSatisfaction].[All]" dimensionUniqueName="[HR_Analytics]" displayFolder="" count="0" memberValueDatatype="20" unbalanced="0"/>
    <cacheHierarchy uniqueName="[HR_Analytics].[MaritalStatus]" caption="MaritalStatus" attribute="1" defaultMemberUniqueName="[HR_Analytics].[MaritalStatus].[All]" allUniqueName="[HR_Analytics].[MaritalStatus].[All]" dimensionUniqueName="[HR_Analytics]" displayFolder="" count="0" memberValueDatatype="130" unbalanced="0"/>
    <cacheHierarchy uniqueName="[HR_Analytics].[MonthlyIncome]" caption="MonthlyIncome" attribute="1" defaultMemberUniqueName="[HR_Analytics].[MonthlyIncome].[All]" allUniqueName="[HR_Analytics].[MonthlyIncome].[All]" dimensionUniqueName="[HR_Analytics]" displayFolder="" count="0" memberValueDatatype="20" unbalanced="0"/>
    <cacheHierarchy uniqueName="[HR_Analytics].[SalarySlab]" caption="SalarySlab" attribute="1" defaultMemberUniqueName="[HR_Analytics].[SalarySlab].[All]" allUniqueName="[HR_Analytics].[SalarySlab].[All]" dimensionUniqueName="[HR_Analytics]" displayFolder="" count="2" memberValueDatatype="130" unbalanced="0"/>
    <cacheHierarchy uniqueName="[HR_Analytics].[MonthlyRate]" caption="MonthlyRate" attribute="1" defaultMemberUniqueName="[HR_Analytics].[MonthlyRate].[All]" allUniqueName="[HR_Analytics].[MonthlyRate].[All]" dimensionUniqueName="[HR_Analytics]" displayFolder="" count="0" memberValueDatatype="20" unbalanced="0"/>
    <cacheHierarchy uniqueName="[HR_Analytics].[NumCompaniesWorked]" caption="NumCompaniesWorked" attribute="1" defaultMemberUniqueName="[HR_Analytics].[NumCompaniesWorked].[All]" allUniqueName="[HR_Analytics].[NumCompaniesWorked].[All]" dimensionUniqueName="[HR_Analytics]" displayFolder="" count="0" memberValueDatatype="20" unbalanced="0"/>
    <cacheHierarchy uniqueName="[HR_Analytics].[Over18]" caption="Over18" attribute="1" defaultMemberUniqueName="[HR_Analytics].[Over18].[All]" allUniqueName="[HR_Analytics].[Over18].[All]" dimensionUniqueName="[HR_Analytics]" displayFolder="" count="0" memberValueDatatype="130" unbalanced="0"/>
    <cacheHierarchy uniqueName="[HR_Analytics].[OverTime]" caption="OverTime" attribute="1" defaultMemberUniqueName="[HR_Analytics].[OverTime].[All]" allUniqueName="[HR_Analytics].[OverTime].[All]" dimensionUniqueName="[HR_Analytics]" displayFolder="" count="0" memberValueDatatype="130" unbalanced="0"/>
    <cacheHierarchy uniqueName="[HR_Analytics].[PercentSalaryHike]" caption="PercentSalaryHike" attribute="1" defaultMemberUniqueName="[HR_Analytics].[PercentSalaryHike].[All]" allUniqueName="[HR_Analytics].[PercentSalaryHike].[All]" dimensionUniqueName="[HR_Analytics]" displayFolder="" count="0" memberValueDatatype="20" unbalanced="0"/>
    <cacheHierarchy uniqueName="[HR_Analytics].[PerformanceRating]" caption="PerformanceRating" attribute="1" defaultMemberUniqueName="[HR_Analytics].[PerformanceRating].[All]" allUniqueName="[HR_Analytics].[PerformanceRating].[All]" dimensionUniqueName="[HR_Analytics]" displayFolder="" count="0" memberValueDatatype="20" unbalanced="0"/>
    <cacheHierarchy uniqueName="[HR_Analytics].[RelationshipSatisfaction]" caption="RelationshipSatisfaction" attribute="1" defaultMemberUniqueName="[HR_Analytics].[RelationshipSatisfaction].[All]" allUniqueName="[HR_Analytics].[RelationshipSatisfaction].[All]" dimensionUniqueName="[HR_Analytics]" displayFolder="" count="0" memberValueDatatype="20" unbalanced="0"/>
    <cacheHierarchy uniqueName="[HR_Analytics].[StandardHours]" caption="StandardHours" attribute="1" defaultMemberUniqueName="[HR_Analytics].[StandardHours].[All]" allUniqueName="[HR_Analytics].[StandardHours].[All]" dimensionUniqueName="[HR_Analytics]" displayFolder="" count="0" memberValueDatatype="20" unbalanced="0"/>
    <cacheHierarchy uniqueName="[HR_Analytics].[StockOptionLevel]" caption="StockOptionLevel" attribute="1" defaultMemberUniqueName="[HR_Analytics].[StockOptionLevel].[All]" allUniqueName="[HR_Analytics].[StockOptionLevel].[All]" dimensionUniqueName="[HR_Analytics]" displayFolder="" count="0" memberValueDatatype="20" unbalanced="0"/>
    <cacheHierarchy uniqueName="[HR_Analytics].[TotalWorkingYears]" caption="TotalWorkingYears" attribute="1" defaultMemberUniqueName="[HR_Analytics].[TotalWorkingYears].[All]" allUniqueName="[HR_Analytics].[TotalWorkingYears].[All]" dimensionUniqueName="[HR_Analytics]" displayFolder="" count="0" memberValueDatatype="20" unbalanced="0"/>
    <cacheHierarchy uniqueName="[HR_Analytics].[TrainingTimesLastYear]" caption="TrainingTimesLastYear" attribute="1" defaultMemberUniqueName="[HR_Analytics].[TrainingTimesLastYear].[All]" allUniqueName="[HR_Analytics].[TrainingTimesLastYear].[All]" dimensionUniqueName="[HR_Analytics]" displayFolder="" count="0" memberValueDatatype="20" unbalanced="0"/>
    <cacheHierarchy uniqueName="[HR_Analytics].[WorkLifeBalance]" caption="WorkLifeBalance" attribute="1" defaultMemberUniqueName="[HR_Analytics].[WorkLifeBalance].[All]" allUniqueName="[HR_Analytics].[WorkLifeBalance].[All]" dimensionUniqueName="[HR_Analytics]" displayFolder="" count="0" memberValueDatatype="20" unbalanced="0"/>
    <cacheHierarchy uniqueName="[HR_Analytics].[YearsAtCompany]" caption="YearsAtCompany" attribute="1" defaultMemberUniqueName="[HR_Analytics].[YearsAtCompany].[All]" allUniqueName="[HR_Analytics].[YearsAtCompany].[All]" dimensionUniqueName="[HR_Analytics]" displayFolder="" count="0" memberValueDatatype="20" unbalanced="0"/>
    <cacheHierarchy uniqueName="[HR_Analytics].[YearsInCurrentRole]" caption="YearsInCurrentRole" attribute="1" defaultMemberUniqueName="[HR_Analytics].[YearsInCurrentRole].[All]" allUniqueName="[HR_Analytics].[YearsInCurrentRole].[All]" dimensionUniqueName="[HR_Analytics]" displayFolder="" count="0" memberValueDatatype="20" unbalanced="0"/>
    <cacheHierarchy uniqueName="[HR_Analytics].[YearsSinceLastPromotion]" caption="YearsSinceLastPromotion" attribute="1" defaultMemberUniqueName="[HR_Analytics].[YearsSinceLastPromotion].[All]" allUniqueName="[HR_Analytics].[YearsSinceLastPromotion].[All]" dimensionUniqueName="[HR_Analytics]" displayFolder="" count="0" memberValueDatatype="20" unbalanced="0"/>
    <cacheHierarchy uniqueName="[HR_Analytics].[YearsWithCurrManager]" caption="YearsWithCurrManager" attribute="1" defaultMemberUniqueName="[HR_Analytics].[YearsWithCurrManager].[All]" allUniqueName="[HR_Analytics].[YearsWithCurrManager].[All]" dimensionUniqueName="[HR_Analytics]" displayFolder="" count="0" memberValueDatatype="5" unbalanced="0"/>
    <cacheHierarchy uniqueName="[Table1].[Column]" caption="Column" attribute="1" defaultMemberUniqueName="[Table1].[Column].[All]" allUniqueName="[Table1].[Column].[All]" dimensionUniqueName="[Table1]" displayFolder="" count="0" memberValueDatatype="130" unbalanced="0"/>
    <cacheHierarchy uniqueName="[Table1].[المعنى بالعربي]" caption="المعنى بالعربي" attribute="1" defaultMemberUniqueName="[Table1].[المعنى بالعربي].[All]" allUniqueName="[Table1].[المعنى بالعربي].[All]" dimensionUniqueName="[Table1]" displayFolder="" count="0" memberValueDatatype="130" unbalanced="0"/>
    <cacheHierarchy uniqueName="[Measures].[Total Employess]" caption="Total Employess" measure="1" displayFolder="" measureGroup="HR_Analytics" count="0" oneField="1">
      <fieldsUsage count="1">
        <fieldUsage x="0"/>
      </fieldsUsage>
    </cacheHierarchy>
    <cacheHierarchy uniqueName="[Measures].[Attrition Rate]" caption="Attrition Rate" measure="1" displayFolder="" measureGroup="HR_Analytics" count="0"/>
    <cacheHierarchy uniqueName="[Measures].[Overtime Rate]" caption="Overtime Rate" measure="1" displayFolder="" measureGroup="HR_Analytics" count="0"/>
    <cacheHierarchy uniqueName="[Measures].[Stasfaction Score]" caption="Stasfaction Score" measure="1" displayFolder="" measureGroup="HR_Analytics" count="0"/>
    <cacheHierarchy uniqueName="[Measures].[Monthly Income]" caption="Monthly Income" measure="1" displayFolder="" measureGroup="HR_Analytics" count="0"/>
    <cacheHierarchy uniqueName="[Measures].[Avg Age]" caption="Avg Age" measure="1" displayFolder="" measureGroup="HR_Analytics" count="0"/>
    <cacheHierarchy uniqueName="[Measures].[Avg Tenure]" caption="Avg Tenure" measure="1" displayFolder="" measureGroup="HR_Analytics" count="0"/>
    <cacheHierarchy uniqueName="[Measures].[Avg Env Sat]" caption="Avg Env Sat" measure="1" displayFolder="" measureGroup="HR_Analytics" count="0"/>
    <cacheHierarchy uniqueName="[Measures].[Avg WLB]" caption="Avg WLB" measure="1" displayFolder="" measureGroup="HR_Analytics" count="0"/>
    <cacheHierarchy uniqueName="[Measures].[__XL_Count Table1]" caption="__XL_Count Table1" measure="1" displayFolder="" measureGroup="Table1" count="0" hidden="1"/>
    <cacheHierarchy uniqueName="[Measures].[__XL_Count HR_Analytics]" caption="__XL_Count HR_Analytics" measure="1" displayFolder="" measureGroup="HR_Analytics" count="0" hidden="1"/>
    <cacheHierarchy uniqueName="[Measures].[__No measures defined]" caption="__No measures defined" measure="1" displayFolder="" count="0" hidden="1"/>
    <cacheHierarchy uniqueName="[Measures].[Sum of Age]" caption="Sum of Age" measure="1" displayFolder="" measureGroup="HR_Analytics" count="0" hidden="1">
      <extLst>
        <ext xmlns:x15="http://schemas.microsoft.com/office/spreadsheetml/2010/11/main" uri="{B97F6D7D-B522-45F9-BDA1-12C45D357490}">
          <x15:cacheHierarchy aggregatedColumn="1"/>
        </ext>
      </extLst>
    </cacheHierarchy>
    <cacheHierarchy uniqueName="[Measures].[Count of Attrition]" caption="Count of Attrition" measure="1" displayFolder="" measureGroup="HR_Analytics" count="0" hidden="1">
      <extLst>
        <ext xmlns:x15="http://schemas.microsoft.com/office/spreadsheetml/2010/11/main" uri="{B97F6D7D-B522-45F9-BDA1-12C45D357490}">
          <x15:cacheHierarchy aggregatedColumn="3"/>
        </ext>
      </extLst>
    </cacheHierarchy>
    <cacheHierarchy uniqueName="[Measures].[Count of OverTime]" caption="Count of OverTime" measure="1" displayFolder="" measureGroup="HR_Analytics" count="0" hidden="1">
      <extLst>
        <ext xmlns:x15="http://schemas.microsoft.com/office/spreadsheetml/2010/11/main" uri="{B97F6D7D-B522-45F9-BDA1-12C45D357490}">
          <x15:cacheHierarchy aggregatedColumn="25"/>
        </ext>
      </extLst>
    </cacheHierarchy>
    <cacheHierarchy uniqueName="[Measures].[Count of Department]" caption="Count of Department" measure="1" displayFolder="" measureGroup="HR_Analytics" count="0" hidden="1">
      <extLst>
        <ext xmlns:x15="http://schemas.microsoft.com/office/spreadsheetml/2010/11/main" uri="{B97F6D7D-B522-45F9-BDA1-12C45D357490}">
          <x15:cacheHierarchy aggregatedColumn="6"/>
        </ext>
      </extLst>
    </cacheHierarchy>
  </cacheHierarchies>
  <kpis count="0"/>
  <dimensions count="3">
    <dimension name="HR_Analytics" uniqueName="[HR_Analytics]" caption="HR_Analytics"/>
    <dimension measure="1" name="Measures" uniqueName="[Measures]" caption="Measures"/>
    <dimension name="Table1" uniqueName="[Table1]" caption="Table1"/>
  </dimensions>
  <measureGroups count="2">
    <measureGroup name="HR_Analytics" caption="HR_Analytics"/>
    <measureGroup name="Table1" caption="Table1"/>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323.833604629632" backgroundQuery="1" createdVersion="8" refreshedVersion="8" minRefreshableVersion="3" recordCount="0" supportSubquery="1" supportAdvancedDrill="1" xr:uid="{C1BA6668-8498-47D1-A6E5-9A833CE8EF8F}">
  <cacheSource type="external" connectionId="2"/>
  <cacheFields count="3">
    <cacheField name="[Measures].[Avg Age]" caption="Avg Age" numFmtId="0" hierarchy="45" level="32767"/>
    <cacheField name="[Measures].[Avg Tenure]" caption="Avg Tenure" numFmtId="0" hierarchy="46" level="32767"/>
    <cacheField name="[HR_Analytics].[Department].[Department]" caption="Department" numFmtId="0" hierarchy="6" level="1">
      <sharedItems containsSemiMixedTypes="0" containsNonDate="0" containsString="0"/>
    </cacheField>
  </cacheFields>
  <cacheHierarchies count="56">
    <cacheHierarchy uniqueName="[HR_Analytics].[EmpID]" caption="EmpID" attribute="1" defaultMemberUniqueName="[HR_Analytics].[EmpID].[All]" allUniqueName="[HR_Analytics].[EmpID].[All]" dimensionUniqueName="[HR_Analytics]" displayFolder="" count="0" memberValueDatatype="130" unbalanced="0"/>
    <cacheHierarchy uniqueName="[HR_Analytics].[Age]" caption="Age" attribute="1" defaultMemberUniqueName="[HR_Analytics].[Age].[All]" allUniqueName="[HR_Analytics].[Age].[All]" dimensionUniqueName="[HR_Analytics]" displayFolder="" count="0" memberValueDatatype="20" unbalanced="0"/>
    <cacheHierarchy uniqueName="[HR_Analytics].[AgeGroup]" caption="AgeGroup" attribute="1" defaultMemberUniqueName="[HR_Analytics].[AgeGroup].[All]" allUniqueName="[HR_Analytics].[AgeGroup].[All]" dimensionUniqueName="[HR_Analytics]" displayFolder="" count="0" memberValueDatatype="130" unbalanced="0"/>
    <cacheHierarchy uniqueName="[HR_Analytics].[Attrition]" caption="Attrition" attribute="1" defaultMemberUniqueName="[HR_Analytics].[Attrition].[All]" allUniqueName="[HR_Analytics].[Attrition].[All]" dimensionUniqueName="[HR_Analytics]" displayFolder="" count="0" memberValueDatatype="130" unbalanced="0"/>
    <cacheHierarchy uniqueName="[HR_Analytics].[BusinessTravel]" caption="BusinessTravel" attribute="1" defaultMemberUniqueName="[HR_Analytics].[BusinessTravel].[All]" allUniqueName="[HR_Analytics].[BusinessTravel].[All]" dimensionUniqueName="[HR_Analytics]" displayFolder="" count="0" memberValueDatatype="130" unbalanced="0"/>
    <cacheHierarchy uniqueName="[HR_Analytics].[DailyRate]" caption="DailyRate" attribute="1" defaultMemberUniqueName="[HR_Analytics].[DailyRate].[All]" allUniqueName="[HR_Analytics].[DailyRate].[All]" dimensionUniqueName="[HR_Analytics]" displayFolder="" count="0" memberValueDatatype="20" unbalanced="0"/>
    <cacheHierarchy uniqueName="[HR_Analytics].[Department]" caption="Department" attribute="1" defaultMemberUniqueName="[HR_Analytics].[Department].[All]" allUniqueName="[HR_Analytics].[Department].[All]" dimensionUniqueName="[HR_Analytics]" displayFolder="" count="2" memberValueDatatype="130" unbalanced="0">
      <fieldsUsage count="2">
        <fieldUsage x="-1"/>
        <fieldUsage x="2"/>
      </fieldsUsage>
    </cacheHierarchy>
    <cacheHierarchy uniqueName="[HR_Analytics].[DistanceFromHome]" caption="DistanceFromHome" attribute="1" defaultMemberUniqueName="[HR_Analytics].[DistanceFromHome].[All]" allUniqueName="[HR_Analytics].[DistanceFromHome].[All]" dimensionUniqueName="[HR_Analytics]" displayFolder="" count="0" memberValueDatatype="20" unbalanced="0"/>
    <cacheHierarchy uniqueName="[HR_Analytics].[Education]" caption="Education" attribute="1" defaultMemberUniqueName="[HR_Analytics].[Education].[All]" allUniqueName="[HR_Analytics].[Education].[All]" dimensionUniqueName="[HR_Analytics]" displayFolder="" count="0" memberValueDatatype="20" unbalanced="0"/>
    <cacheHierarchy uniqueName="[HR_Analytics].[EducationField]" caption="EducationField" attribute="1" defaultMemberUniqueName="[HR_Analytics].[EducationField].[All]" allUniqueName="[HR_Analytics].[EducationField].[All]" dimensionUniqueName="[HR_Analytics]" displayFolder="" count="0" memberValueDatatype="130" unbalanced="0"/>
    <cacheHierarchy uniqueName="[HR_Analytics].[EmployeeCount]" caption="EmployeeCount" attribute="1" defaultMemberUniqueName="[HR_Analytics].[EmployeeCount].[All]" allUniqueName="[HR_Analytics].[EmployeeCount].[All]" dimensionUniqueName="[HR_Analytics]" displayFolder="" count="0" memberValueDatatype="20" unbalanced="0"/>
    <cacheHierarchy uniqueName="[HR_Analytics].[EmployeeNumber]" caption="EmployeeNumber" attribute="1" defaultMemberUniqueName="[HR_Analytics].[EmployeeNumber].[All]" allUniqueName="[HR_Analytics].[EmployeeNumber].[All]" dimensionUniqueName="[HR_Analytics]" displayFolder="" count="0" memberValueDatatype="20" unbalanced="0"/>
    <cacheHierarchy uniqueName="[HR_Analytics].[EnvironmentSatisfaction]" caption="EnvironmentSatisfaction" attribute="1" defaultMemberUniqueName="[HR_Analytics].[EnvironmentSatisfaction].[All]" allUniqueName="[HR_Analytics].[EnvironmentSatisfaction].[All]" dimensionUniqueName="[HR_Analytics]" displayFolder="" count="0" memberValueDatatype="20" unbalanced="0"/>
    <cacheHierarchy uniqueName="[HR_Analytics].[Gender]" caption="Gender" attribute="1" defaultMemberUniqueName="[HR_Analytics].[Gender].[All]" allUniqueName="[HR_Analytics].[Gender].[All]" dimensionUniqueName="[HR_Analytics]" displayFolder="" count="0" memberValueDatatype="130" unbalanced="0"/>
    <cacheHierarchy uniqueName="[HR_Analytics].[HourlyRate]" caption="HourlyRate" attribute="1" defaultMemberUniqueName="[HR_Analytics].[HourlyRate].[All]" allUniqueName="[HR_Analytics].[HourlyRate].[All]" dimensionUniqueName="[HR_Analytics]" displayFolder="" count="0" memberValueDatatype="20" unbalanced="0"/>
    <cacheHierarchy uniqueName="[HR_Analytics].[JobInvolvement]" caption="JobInvolvement" attribute="1" defaultMemberUniqueName="[HR_Analytics].[JobInvolvement].[All]" allUniqueName="[HR_Analytics].[JobInvolvement].[All]" dimensionUniqueName="[HR_Analytics]" displayFolder="" count="0" memberValueDatatype="20" unbalanced="0"/>
    <cacheHierarchy uniqueName="[HR_Analytics].[JobLevel]" caption="JobLevel" attribute="1" defaultMemberUniqueName="[HR_Analytics].[JobLevel].[All]" allUniqueName="[HR_Analytics].[JobLevel].[All]" dimensionUniqueName="[HR_Analytics]" displayFolder="" count="0" memberValueDatatype="20" unbalanced="0"/>
    <cacheHierarchy uniqueName="[HR_Analytics].[JobRole]" caption="JobRole" attribute="1" defaultMemberUniqueName="[HR_Analytics].[JobRole].[All]" allUniqueName="[HR_Analytics].[JobRole].[All]" dimensionUniqueName="[HR_Analytics]" displayFolder="" count="0" memberValueDatatype="130" unbalanced="0"/>
    <cacheHierarchy uniqueName="[HR_Analytics].[JobSatisfaction]" caption="JobSatisfaction" attribute="1" defaultMemberUniqueName="[HR_Analytics].[JobSatisfaction].[All]" allUniqueName="[HR_Analytics].[JobSatisfaction].[All]" dimensionUniqueName="[HR_Analytics]" displayFolder="" count="0" memberValueDatatype="20" unbalanced="0"/>
    <cacheHierarchy uniqueName="[HR_Analytics].[MaritalStatus]" caption="MaritalStatus" attribute="1" defaultMemberUniqueName="[HR_Analytics].[MaritalStatus].[All]" allUniqueName="[HR_Analytics].[MaritalStatus].[All]" dimensionUniqueName="[HR_Analytics]" displayFolder="" count="0" memberValueDatatype="130" unbalanced="0"/>
    <cacheHierarchy uniqueName="[HR_Analytics].[MonthlyIncome]" caption="MonthlyIncome" attribute="1" defaultMemberUniqueName="[HR_Analytics].[MonthlyIncome].[All]" allUniqueName="[HR_Analytics].[MonthlyIncome].[All]" dimensionUniqueName="[HR_Analytics]" displayFolder="" count="0" memberValueDatatype="20" unbalanced="0"/>
    <cacheHierarchy uniqueName="[HR_Analytics].[SalarySlab]" caption="SalarySlab" attribute="1" defaultMemberUniqueName="[HR_Analytics].[SalarySlab].[All]" allUniqueName="[HR_Analytics].[SalarySlab].[All]" dimensionUniqueName="[HR_Analytics]" displayFolder="" count="2" memberValueDatatype="130" unbalanced="0"/>
    <cacheHierarchy uniqueName="[HR_Analytics].[MonthlyRate]" caption="MonthlyRate" attribute="1" defaultMemberUniqueName="[HR_Analytics].[MonthlyRate].[All]" allUniqueName="[HR_Analytics].[MonthlyRate].[All]" dimensionUniqueName="[HR_Analytics]" displayFolder="" count="0" memberValueDatatype="20" unbalanced="0"/>
    <cacheHierarchy uniqueName="[HR_Analytics].[NumCompaniesWorked]" caption="NumCompaniesWorked" attribute="1" defaultMemberUniqueName="[HR_Analytics].[NumCompaniesWorked].[All]" allUniqueName="[HR_Analytics].[NumCompaniesWorked].[All]" dimensionUniqueName="[HR_Analytics]" displayFolder="" count="0" memberValueDatatype="20" unbalanced="0"/>
    <cacheHierarchy uniqueName="[HR_Analytics].[Over18]" caption="Over18" attribute="1" defaultMemberUniqueName="[HR_Analytics].[Over18].[All]" allUniqueName="[HR_Analytics].[Over18].[All]" dimensionUniqueName="[HR_Analytics]" displayFolder="" count="0" memberValueDatatype="130" unbalanced="0"/>
    <cacheHierarchy uniqueName="[HR_Analytics].[OverTime]" caption="OverTime" attribute="1" defaultMemberUniqueName="[HR_Analytics].[OverTime].[All]" allUniqueName="[HR_Analytics].[OverTime].[All]" dimensionUniqueName="[HR_Analytics]" displayFolder="" count="0" memberValueDatatype="130" unbalanced="0"/>
    <cacheHierarchy uniqueName="[HR_Analytics].[PercentSalaryHike]" caption="PercentSalaryHike" attribute="1" defaultMemberUniqueName="[HR_Analytics].[PercentSalaryHike].[All]" allUniqueName="[HR_Analytics].[PercentSalaryHike].[All]" dimensionUniqueName="[HR_Analytics]" displayFolder="" count="0" memberValueDatatype="20" unbalanced="0"/>
    <cacheHierarchy uniqueName="[HR_Analytics].[PerformanceRating]" caption="PerformanceRating" attribute="1" defaultMemberUniqueName="[HR_Analytics].[PerformanceRating].[All]" allUniqueName="[HR_Analytics].[PerformanceRating].[All]" dimensionUniqueName="[HR_Analytics]" displayFolder="" count="0" memberValueDatatype="20" unbalanced="0"/>
    <cacheHierarchy uniqueName="[HR_Analytics].[RelationshipSatisfaction]" caption="RelationshipSatisfaction" attribute="1" defaultMemberUniqueName="[HR_Analytics].[RelationshipSatisfaction].[All]" allUniqueName="[HR_Analytics].[RelationshipSatisfaction].[All]" dimensionUniqueName="[HR_Analytics]" displayFolder="" count="0" memberValueDatatype="20" unbalanced="0"/>
    <cacheHierarchy uniqueName="[HR_Analytics].[StandardHours]" caption="StandardHours" attribute="1" defaultMemberUniqueName="[HR_Analytics].[StandardHours].[All]" allUniqueName="[HR_Analytics].[StandardHours].[All]" dimensionUniqueName="[HR_Analytics]" displayFolder="" count="0" memberValueDatatype="20" unbalanced="0"/>
    <cacheHierarchy uniqueName="[HR_Analytics].[StockOptionLevel]" caption="StockOptionLevel" attribute="1" defaultMemberUniqueName="[HR_Analytics].[StockOptionLevel].[All]" allUniqueName="[HR_Analytics].[StockOptionLevel].[All]" dimensionUniqueName="[HR_Analytics]" displayFolder="" count="0" memberValueDatatype="20" unbalanced="0"/>
    <cacheHierarchy uniqueName="[HR_Analytics].[TotalWorkingYears]" caption="TotalWorkingYears" attribute="1" defaultMemberUniqueName="[HR_Analytics].[TotalWorkingYears].[All]" allUniqueName="[HR_Analytics].[TotalWorkingYears].[All]" dimensionUniqueName="[HR_Analytics]" displayFolder="" count="0" memberValueDatatype="20" unbalanced="0"/>
    <cacheHierarchy uniqueName="[HR_Analytics].[TrainingTimesLastYear]" caption="TrainingTimesLastYear" attribute="1" defaultMemberUniqueName="[HR_Analytics].[TrainingTimesLastYear].[All]" allUniqueName="[HR_Analytics].[TrainingTimesLastYear].[All]" dimensionUniqueName="[HR_Analytics]" displayFolder="" count="0" memberValueDatatype="20" unbalanced="0"/>
    <cacheHierarchy uniqueName="[HR_Analytics].[WorkLifeBalance]" caption="WorkLifeBalance" attribute="1" defaultMemberUniqueName="[HR_Analytics].[WorkLifeBalance].[All]" allUniqueName="[HR_Analytics].[WorkLifeBalance].[All]" dimensionUniqueName="[HR_Analytics]" displayFolder="" count="0" memberValueDatatype="20" unbalanced="0"/>
    <cacheHierarchy uniqueName="[HR_Analytics].[YearsAtCompany]" caption="YearsAtCompany" attribute="1" defaultMemberUniqueName="[HR_Analytics].[YearsAtCompany].[All]" allUniqueName="[HR_Analytics].[YearsAtCompany].[All]" dimensionUniqueName="[HR_Analytics]" displayFolder="" count="0" memberValueDatatype="20" unbalanced="0"/>
    <cacheHierarchy uniqueName="[HR_Analytics].[YearsInCurrentRole]" caption="YearsInCurrentRole" attribute="1" defaultMemberUniqueName="[HR_Analytics].[YearsInCurrentRole].[All]" allUniqueName="[HR_Analytics].[YearsInCurrentRole].[All]" dimensionUniqueName="[HR_Analytics]" displayFolder="" count="0" memberValueDatatype="20" unbalanced="0"/>
    <cacheHierarchy uniqueName="[HR_Analytics].[YearsSinceLastPromotion]" caption="YearsSinceLastPromotion" attribute="1" defaultMemberUniqueName="[HR_Analytics].[YearsSinceLastPromotion].[All]" allUniqueName="[HR_Analytics].[YearsSinceLastPromotion].[All]" dimensionUniqueName="[HR_Analytics]" displayFolder="" count="0" memberValueDatatype="20" unbalanced="0"/>
    <cacheHierarchy uniqueName="[HR_Analytics].[YearsWithCurrManager]" caption="YearsWithCurrManager" attribute="1" defaultMemberUniqueName="[HR_Analytics].[YearsWithCurrManager].[All]" allUniqueName="[HR_Analytics].[YearsWithCurrManager].[All]" dimensionUniqueName="[HR_Analytics]" displayFolder="" count="0" memberValueDatatype="5" unbalanced="0"/>
    <cacheHierarchy uniqueName="[Table1].[Column]" caption="Column" attribute="1" defaultMemberUniqueName="[Table1].[Column].[All]" allUniqueName="[Table1].[Column].[All]" dimensionUniqueName="[Table1]" displayFolder="" count="0" memberValueDatatype="130" unbalanced="0"/>
    <cacheHierarchy uniqueName="[Table1].[المعنى بالعربي]" caption="المعنى بالعربي" attribute="1" defaultMemberUniqueName="[Table1].[المعنى بالعربي].[All]" allUniqueName="[Table1].[المعنى بالعربي].[All]" dimensionUniqueName="[Table1]" displayFolder="" count="0" memberValueDatatype="130" unbalanced="0"/>
    <cacheHierarchy uniqueName="[Measures].[Total Employess]" caption="Total Employess" measure="1" displayFolder="" measureGroup="HR_Analytics" count="0"/>
    <cacheHierarchy uniqueName="[Measures].[Attrition Rate]" caption="Attrition Rate" measure="1" displayFolder="" measureGroup="HR_Analytics" count="0"/>
    <cacheHierarchy uniqueName="[Measures].[Overtime Rate]" caption="Overtime Rate" measure="1" displayFolder="" measureGroup="HR_Analytics" count="0"/>
    <cacheHierarchy uniqueName="[Measures].[Stasfaction Score]" caption="Stasfaction Score" measure="1" displayFolder="" measureGroup="HR_Analytics" count="0"/>
    <cacheHierarchy uniqueName="[Measures].[Monthly Income]" caption="Monthly Income" measure="1" displayFolder="" measureGroup="HR_Analytics" count="0"/>
    <cacheHierarchy uniqueName="[Measures].[Avg Age]" caption="Avg Age" measure="1" displayFolder="" measureGroup="HR_Analytics" count="0" oneField="1">
      <fieldsUsage count="1">
        <fieldUsage x="0"/>
      </fieldsUsage>
    </cacheHierarchy>
    <cacheHierarchy uniqueName="[Measures].[Avg Tenure]" caption="Avg Tenure" measure="1" displayFolder="" measureGroup="HR_Analytics" count="0" oneField="1">
      <fieldsUsage count="1">
        <fieldUsage x="1"/>
      </fieldsUsage>
    </cacheHierarchy>
    <cacheHierarchy uniqueName="[Measures].[Avg Env Sat]" caption="Avg Env Sat" measure="1" displayFolder="" measureGroup="HR_Analytics" count="0"/>
    <cacheHierarchy uniqueName="[Measures].[Avg WLB]" caption="Avg WLB" measure="1" displayFolder="" measureGroup="HR_Analytics" count="0"/>
    <cacheHierarchy uniqueName="[Measures].[__XL_Count Table1]" caption="__XL_Count Table1" measure="1" displayFolder="" measureGroup="Table1" count="0" hidden="1"/>
    <cacheHierarchy uniqueName="[Measures].[__XL_Count HR_Analytics]" caption="__XL_Count HR_Analytics" measure="1" displayFolder="" measureGroup="HR_Analytics" count="0" hidden="1"/>
    <cacheHierarchy uniqueName="[Measures].[__No measures defined]" caption="__No measures defined" measure="1" displayFolder="" count="0" hidden="1"/>
    <cacheHierarchy uniqueName="[Measures].[Sum of Age]" caption="Sum of Age" measure="1" displayFolder="" measureGroup="HR_Analytics" count="0" hidden="1">
      <extLst>
        <ext xmlns:x15="http://schemas.microsoft.com/office/spreadsheetml/2010/11/main" uri="{B97F6D7D-B522-45F9-BDA1-12C45D357490}">
          <x15:cacheHierarchy aggregatedColumn="1"/>
        </ext>
      </extLst>
    </cacheHierarchy>
    <cacheHierarchy uniqueName="[Measures].[Count of Attrition]" caption="Count of Attrition" measure="1" displayFolder="" measureGroup="HR_Analytics" count="0" hidden="1">
      <extLst>
        <ext xmlns:x15="http://schemas.microsoft.com/office/spreadsheetml/2010/11/main" uri="{B97F6D7D-B522-45F9-BDA1-12C45D357490}">
          <x15:cacheHierarchy aggregatedColumn="3"/>
        </ext>
      </extLst>
    </cacheHierarchy>
    <cacheHierarchy uniqueName="[Measures].[Count of OverTime]" caption="Count of OverTime" measure="1" displayFolder="" measureGroup="HR_Analytics" count="0" hidden="1">
      <extLst>
        <ext xmlns:x15="http://schemas.microsoft.com/office/spreadsheetml/2010/11/main" uri="{B97F6D7D-B522-45F9-BDA1-12C45D357490}">
          <x15:cacheHierarchy aggregatedColumn="25"/>
        </ext>
      </extLst>
    </cacheHierarchy>
    <cacheHierarchy uniqueName="[Measures].[Count of Department]" caption="Count of Department" measure="1" displayFolder="" measureGroup="HR_Analytics" count="0" hidden="1">
      <extLst>
        <ext xmlns:x15="http://schemas.microsoft.com/office/spreadsheetml/2010/11/main" uri="{B97F6D7D-B522-45F9-BDA1-12C45D357490}">
          <x15:cacheHierarchy aggregatedColumn="6"/>
        </ext>
      </extLst>
    </cacheHierarchy>
  </cacheHierarchies>
  <kpis count="0"/>
  <dimensions count="3">
    <dimension name="HR_Analytics" uniqueName="[HR_Analytics]" caption="HR_Analytics"/>
    <dimension measure="1" name="Measures" uniqueName="[Measures]" caption="Measures"/>
    <dimension name="Table1" uniqueName="[Table1]" caption="Table1"/>
  </dimensions>
  <measureGroups count="2">
    <measureGroup name="HR_Analytics" caption="HR_Analytics"/>
    <measureGroup name="Table1" caption="Table1"/>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323.833595717595" backgroundQuery="1" createdVersion="8" refreshedVersion="8" minRefreshableVersion="3" recordCount="0" supportSubquery="1" supportAdvancedDrill="1" xr:uid="{660CCA4F-044D-4930-AF61-AE5E4A1100CF}">
  <cacheSource type="external" connectionId="2"/>
  <cacheFields count="2">
    <cacheField name="[Measures].[Monthly Income]" caption="Monthly Income" numFmtId="0" hierarchy="44" level="32767"/>
    <cacheField name="[HR_Analytics].[Department].[Department]" caption="Department" numFmtId="0" hierarchy="6" level="1">
      <sharedItems count="3">
        <s v="Human Resources"/>
        <s v="Research &amp; Development"/>
        <s v="Sales"/>
      </sharedItems>
    </cacheField>
  </cacheFields>
  <cacheHierarchies count="56">
    <cacheHierarchy uniqueName="[HR_Analytics].[EmpID]" caption="EmpID" attribute="1" defaultMemberUniqueName="[HR_Analytics].[EmpID].[All]" allUniqueName="[HR_Analytics].[EmpID].[All]" dimensionUniqueName="[HR_Analytics]" displayFolder="" count="0" memberValueDatatype="130" unbalanced="0"/>
    <cacheHierarchy uniqueName="[HR_Analytics].[Age]" caption="Age" attribute="1" defaultMemberUniqueName="[HR_Analytics].[Age].[All]" allUniqueName="[HR_Analytics].[Age].[All]" dimensionUniqueName="[HR_Analytics]" displayFolder="" count="0" memberValueDatatype="20" unbalanced="0"/>
    <cacheHierarchy uniqueName="[HR_Analytics].[AgeGroup]" caption="AgeGroup" attribute="1" defaultMemberUniqueName="[HR_Analytics].[AgeGroup].[All]" allUniqueName="[HR_Analytics].[AgeGroup].[All]" dimensionUniqueName="[HR_Analytics]" displayFolder="" count="0" memberValueDatatype="130" unbalanced="0"/>
    <cacheHierarchy uniqueName="[HR_Analytics].[Attrition]" caption="Attrition" attribute="1" defaultMemberUniqueName="[HR_Analytics].[Attrition].[All]" allUniqueName="[HR_Analytics].[Attrition].[All]" dimensionUniqueName="[HR_Analytics]" displayFolder="" count="0" memberValueDatatype="130" unbalanced="0"/>
    <cacheHierarchy uniqueName="[HR_Analytics].[BusinessTravel]" caption="BusinessTravel" attribute="1" defaultMemberUniqueName="[HR_Analytics].[BusinessTravel].[All]" allUniqueName="[HR_Analytics].[BusinessTravel].[All]" dimensionUniqueName="[HR_Analytics]" displayFolder="" count="0" memberValueDatatype="130" unbalanced="0"/>
    <cacheHierarchy uniqueName="[HR_Analytics].[DailyRate]" caption="DailyRate" attribute="1" defaultMemberUniqueName="[HR_Analytics].[DailyRate].[All]" allUniqueName="[HR_Analytics].[DailyRate].[All]" dimensionUniqueName="[HR_Analytics]" displayFolder="" count="0" memberValueDatatype="20" unbalanced="0"/>
    <cacheHierarchy uniqueName="[HR_Analytics].[Department]" caption="Department" attribute="1" defaultMemberUniqueName="[HR_Analytics].[Department].[All]" allUniqueName="[HR_Analytics].[Department].[All]" dimensionUniqueName="[HR_Analytics]" displayFolder="" count="2" memberValueDatatype="130" unbalanced="0">
      <fieldsUsage count="2">
        <fieldUsage x="-1"/>
        <fieldUsage x="1"/>
      </fieldsUsage>
    </cacheHierarchy>
    <cacheHierarchy uniqueName="[HR_Analytics].[DistanceFromHome]" caption="DistanceFromHome" attribute="1" defaultMemberUniqueName="[HR_Analytics].[DistanceFromHome].[All]" allUniqueName="[HR_Analytics].[DistanceFromHome].[All]" dimensionUniqueName="[HR_Analytics]" displayFolder="" count="0" memberValueDatatype="20" unbalanced="0"/>
    <cacheHierarchy uniqueName="[HR_Analytics].[Education]" caption="Education" attribute="1" defaultMemberUniqueName="[HR_Analytics].[Education].[All]" allUniqueName="[HR_Analytics].[Education].[All]" dimensionUniqueName="[HR_Analytics]" displayFolder="" count="0" memberValueDatatype="20" unbalanced="0"/>
    <cacheHierarchy uniqueName="[HR_Analytics].[EducationField]" caption="EducationField" attribute="1" defaultMemberUniqueName="[HR_Analytics].[EducationField].[All]" allUniqueName="[HR_Analytics].[EducationField].[All]" dimensionUniqueName="[HR_Analytics]" displayFolder="" count="0" memberValueDatatype="130" unbalanced="0"/>
    <cacheHierarchy uniqueName="[HR_Analytics].[EmployeeCount]" caption="EmployeeCount" attribute="1" defaultMemberUniqueName="[HR_Analytics].[EmployeeCount].[All]" allUniqueName="[HR_Analytics].[EmployeeCount].[All]" dimensionUniqueName="[HR_Analytics]" displayFolder="" count="0" memberValueDatatype="20" unbalanced="0"/>
    <cacheHierarchy uniqueName="[HR_Analytics].[EmployeeNumber]" caption="EmployeeNumber" attribute="1" defaultMemberUniqueName="[HR_Analytics].[EmployeeNumber].[All]" allUniqueName="[HR_Analytics].[EmployeeNumber].[All]" dimensionUniqueName="[HR_Analytics]" displayFolder="" count="0" memberValueDatatype="20" unbalanced="0"/>
    <cacheHierarchy uniqueName="[HR_Analytics].[EnvironmentSatisfaction]" caption="EnvironmentSatisfaction" attribute="1" defaultMemberUniqueName="[HR_Analytics].[EnvironmentSatisfaction].[All]" allUniqueName="[HR_Analytics].[EnvironmentSatisfaction].[All]" dimensionUniqueName="[HR_Analytics]" displayFolder="" count="0" memberValueDatatype="20" unbalanced="0"/>
    <cacheHierarchy uniqueName="[HR_Analytics].[Gender]" caption="Gender" attribute="1" defaultMemberUniqueName="[HR_Analytics].[Gender].[All]" allUniqueName="[HR_Analytics].[Gender].[All]" dimensionUniqueName="[HR_Analytics]" displayFolder="" count="0" memberValueDatatype="130" unbalanced="0"/>
    <cacheHierarchy uniqueName="[HR_Analytics].[HourlyRate]" caption="HourlyRate" attribute="1" defaultMemberUniqueName="[HR_Analytics].[HourlyRate].[All]" allUniqueName="[HR_Analytics].[HourlyRate].[All]" dimensionUniqueName="[HR_Analytics]" displayFolder="" count="0" memberValueDatatype="20" unbalanced="0"/>
    <cacheHierarchy uniqueName="[HR_Analytics].[JobInvolvement]" caption="JobInvolvement" attribute="1" defaultMemberUniqueName="[HR_Analytics].[JobInvolvement].[All]" allUniqueName="[HR_Analytics].[JobInvolvement].[All]" dimensionUniqueName="[HR_Analytics]" displayFolder="" count="0" memberValueDatatype="20" unbalanced="0"/>
    <cacheHierarchy uniqueName="[HR_Analytics].[JobLevel]" caption="JobLevel" attribute="1" defaultMemberUniqueName="[HR_Analytics].[JobLevel].[All]" allUniqueName="[HR_Analytics].[JobLevel].[All]" dimensionUniqueName="[HR_Analytics]" displayFolder="" count="0" memberValueDatatype="20" unbalanced="0"/>
    <cacheHierarchy uniqueName="[HR_Analytics].[JobRole]" caption="JobRole" attribute="1" defaultMemberUniqueName="[HR_Analytics].[JobRole].[All]" allUniqueName="[HR_Analytics].[JobRole].[All]" dimensionUniqueName="[HR_Analytics]" displayFolder="" count="0" memberValueDatatype="130" unbalanced="0"/>
    <cacheHierarchy uniqueName="[HR_Analytics].[JobSatisfaction]" caption="JobSatisfaction" attribute="1" defaultMemberUniqueName="[HR_Analytics].[JobSatisfaction].[All]" allUniqueName="[HR_Analytics].[JobSatisfaction].[All]" dimensionUniqueName="[HR_Analytics]" displayFolder="" count="0" memberValueDatatype="20" unbalanced="0"/>
    <cacheHierarchy uniqueName="[HR_Analytics].[MaritalStatus]" caption="MaritalStatus" attribute="1" defaultMemberUniqueName="[HR_Analytics].[MaritalStatus].[All]" allUniqueName="[HR_Analytics].[MaritalStatus].[All]" dimensionUniqueName="[HR_Analytics]" displayFolder="" count="0" memberValueDatatype="130" unbalanced="0"/>
    <cacheHierarchy uniqueName="[HR_Analytics].[MonthlyIncome]" caption="MonthlyIncome" attribute="1" defaultMemberUniqueName="[HR_Analytics].[MonthlyIncome].[All]" allUniqueName="[HR_Analytics].[MonthlyIncome].[All]" dimensionUniqueName="[HR_Analytics]" displayFolder="" count="0" memberValueDatatype="20" unbalanced="0"/>
    <cacheHierarchy uniqueName="[HR_Analytics].[SalarySlab]" caption="SalarySlab" attribute="1" defaultMemberUniqueName="[HR_Analytics].[SalarySlab].[All]" allUniqueName="[HR_Analytics].[SalarySlab].[All]" dimensionUniqueName="[HR_Analytics]" displayFolder="" count="2" memberValueDatatype="130" unbalanced="0"/>
    <cacheHierarchy uniqueName="[HR_Analytics].[MonthlyRate]" caption="MonthlyRate" attribute="1" defaultMemberUniqueName="[HR_Analytics].[MonthlyRate].[All]" allUniqueName="[HR_Analytics].[MonthlyRate].[All]" dimensionUniqueName="[HR_Analytics]" displayFolder="" count="0" memberValueDatatype="20" unbalanced="0"/>
    <cacheHierarchy uniqueName="[HR_Analytics].[NumCompaniesWorked]" caption="NumCompaniesWorked" attribute="1" defaultMemberUniqueName="[HR_Analytics].[NumCompaniesWorked].[All]" allUniqueName="[HR_Analytics].[NumCompaniesWorked].[All]" dimensionUniqueName="[HR_Analytics]" displayFolder="" count="0" memberValueDatatype="20" unbalanced="0"/>
    <cacheHierarchy uniqueName="[HR_Analytics].[Over18]" caption="Over18" attribute="1" defaultMemberUniqueName="[HR_Analytics].[Over18].[All]" allUniqueName="[HR_Analytics].[Over18].[All]" dimensionUniqueName="[HR_Analytics]" displayFolder="" count="0" memberValueDatatype="130" unbalanced="0"/>
    <cacheHierarchy uniqueName="[HR_Analytics].[OverTime]" caption="OverTime" attribute="1" defaultMemberUniqueName="[HR_Analytics].[OverTime].[All]" allUniqueName="[HR_Analytics].[OverTime].[All]" dimensionUniqueName="[HR_Analytics]" displayFolder="" count="0" memberValueDatatype="130" unbalanced="0"/>
    <cacheHierarchy uniqueName="[HR_Analytics].[PercentSalaryHike]" caption="PercentSalaryHike" attribute="1" defaultMemberUniqueName="[HR_Analytics].[PercentSalaryHike].[All]" allUniqueName="[HR_Analytics].[PercentSalaryHike].[All]" dimensionUniqueName="[HR_Analytics]" displayFolder="" count="0" memberValueDatatype="20" unbalanced="0"/>
    <cacheHierarchy uniqueName="[HR_Analytics].[PerformanceRating]" caption="PerformanceRating" attribute="1" defaultMemberUniqueName="[HR_Analytics].[PerformanceRating].[All]" allUniqueName="[HR_Analytics].[PerformanceRating].[All]" dimensionUniqueName="[HR_Analytics]" displayFolder="" count="0" memberValueDatatype="20" unbalanced="0"/>
    <cacheHierarchy uniqueName="[HR_Analytics].[RelationshipSatisfaction]" caption="RelationshipSatisfaction" attribute="1" defaultMemberUniqueName="[HR_Analytics].[RelationshipSatisfaction].[All]" allUniqueName="[HR_Analytics].[RelationshipSatisfaction].[All]" dimensionUniqueName="[HR_Analytics]" displayFolder="" count="0" memberValueDatatype="20" unbalanced="0"/>
    <cacheHierarchy uniqueName="[HR_Analytics].[StandardHours]" caption="StandardHours" attribute="1" defaultMemberUniqueName="[HR_Analytics].[StandardHours].[All]" allUniqueName="[HR_Analytics].[StandardHours].[All]" dimensionUniqueName="[HR_Analytics]" displayFolder="" count="0" memberValueDatatype="20" unbalanced="0"/>
    <cacheHierarchy uniqueName="[HR_Analytics].[StockOptionLevel]" caption="StockOptionLevel" attribute="1" defaultMemberUniqueName="[HR_Analytics].[StockOptionLevel].[All]" allUniqueName="[HR_Analytics].[StockOptionLevel].[All]" dimensionUniqueName="[HR_Analytics]" displayFolder="" count="0" memberValueDatatype="20" unbalanced="0"/>
    <cacheHierarchy uniqueName="[HR_Analytics].[TotalWorkingYears]" caption="TotalWorkingYears" attribute="1" defaultMemberUniqueName="[HR_Analytics].[TotalWorkingYears].[All]" allUniqueName="[HR_Analytics].[TotalWorkingYears].[All]" dimensionUniqueName="[HR_Analytics]" displayFolder="" count="0" memberValueDatatype="20" unbalanced="0"/>
    <cacheHierarchy uniqueName="[HR_Analytics].[TrainingTimesLastYear]" caption="TrainingTimesLastYear" attribute="1" defaultMemberUniqueName="[HR_Analytics].[TrainingTimesLastYear].[All]" allUniqueName="[HR_Analytics].[TrainingTimesLastYear].[All]" dimensionUniqueName="[HR_Analytics]" displayFolder="" count="0" memberValueDatatype="20" unbalanced="0"/>
    <cacheHierarchy uniqueName="[HR_Analytics].[WorkLifeBalance]" caption="WorkLifeBalance" attribute="1" defaultMemberUniqueName="[HR_Analytics].[WorkLifeBalance].[All]" allUniqueName="[HR_Analytics].[WorkLifeBalance].[All]" dimensionUniqueName="[HR_Analytics]" displayFolder="" count="0" memberValueDatatype="20" unbalanced="0"/>
    <cacheHierarchy uniqueName="[HR_Analytics].[YearsAtCompany]" caption="YearsAtCompany" attribute="1" defaultMemberUniqueName="[HR_Analytics].[YearsAtCompany].[All]" allUniqueName="[HR_Analytics].[YearsAtCompany].[All]" dimensionUniqueName="[HR_Analytics]" displayFolder="" count="0" memberValueDatatype="20" unbalanced="0"/>
    <cacheHierarchy uniqueName="[HR_Analytics].[YearsInCurrentRole]" caption="YearsInCurrentRole" attribute="1" defaultMemberUniqueName="[HR_Analytics].[YearsInCurrentRole].[All]" allUniqueName="[HR_Analytics].[YearsInCurrentRole].[All]" dimensionUniqueName="[HR_Analytics]" displayFolder="" count="0" memberValueDatatype="20" unbalanced="0"/>
    <cacheHierarchy uniqueName="[HR_Analytics].[YearsSinceLastPromotion]" caption="YearsSinceLastPromotion" attribute="1" defaultMemberUniqueName="[HR_Analytics].[YearsSinceLastPromotion].[All]" allUniqueName="[HR_Analytics].[YearsSinceLastPromotion].[All]" dimensionUniqueName="[HR_Analytics]" displayFolder="" count="0" memberValueDatatype="20" unbalanced="0"/>
    <cacheHierarchy uniqueName="[HR_Analytics].[YearsWithCurrManager]" caption="YearsWithCurrManager" attribute="1" defaultMemberUniqueName="[HR_Analytics].[YearsWithCurrManager].[All]" allUniqueName="[HR_Analytics].[YearsWithCurrManager].[All]" dimensionUniqueName="[HR_Analytics]" displayFolder="" count="0" memberValueDatatype="5" unbalanced="0"/>
    <cacheHierarchy uniqueName="[Table1].[Column]" caption="Column" attribute="1" defaultMemberUniqueName="[Table1].[Column].[All]" allUniqueName="[Table1].[Column].[All]" dimensionUniqueName="[Table1]" displayFolder="" count="0" memberValueDatatype="130" unbalanced="0"/>
    <cacheHierarchy uniqueName="[Table1].[المعنى بالعربي]" caption="المعنى بالعربي" attribute="1" defaultMemberUniqueName="[Table1].[المعنى بالعربي].[All]" allUniqueName="[Table1].[المعنى بالعربي].[All]" dimensionUniqueName="[Table1]" displayFolder="" count="0" memberValueDatatype="130" unbalanced="0"/>
    <cacheHierarchy uniqueName="[Measures].[Total Employess]" caption="Total Employess" measure="1" displayFolder="" measureGroup="HR_Analytics" count="0"/>
    <cacheHierarchy uniqueName="[Measures].[Attrition Rate]" caption="Attrition Rate" measure="1" displayFolder="" measureGroup="HR_Analytics" count="0"/>
    <cacheHierarchy uniqueName="[Measures].[Overtime Rate]" caption="Overtime Rate" measure="1" displayFolder="" measureGroup="HR_Analytics" count="0"/>
    <cacheHierarchy uniqueName="[Measures].[Stasfaction Score]" caption="Stasfaction Score" measure="1" displayFolder="" measureGroup="HR_Analytics" count="0"/>
    <cacheHierarchy uniqueName="[Measures].[Monthly Income]" caption="Monthly Income" measure="1" displayFolder="" measureGroup="HR_Analytics" count="0" oneField="1">
      <fieldsUsage count="1">
        <fieldUsage x="0"/>
      </fieldsUsage>
    </cacheHierarchy>
    <cacheHierarchy uniqueName="[Measures].[Avg Age]" caption="Avg Age" measure="1" displayFolder="" measureGroup="HR_Analytics" count="0"/>
    <cacheHierarchy uniqueName="[Measures].[Avg Tenure]" caption="Avg Tenure" measure="1" displayFolder="" measureGroup="HR_Analytics" count="0"/>
    <cacheHierarchy uniqueName="[Measures].[Avg Env Sat]" caption="Avg Env Sat" measure="1" displayFolder="" measureGroup="HR_Analytics" count="0"/>
    <cacheHierarchy uniqueName="[Measures].[Avg WLB]" caption="Avg WLB" measure="1" displayFolder="" measureGroup="HR_Analytics" count="0"/>
    <cacheHierarchy uniqueName="[Measures].[__XL_Count Table1]" caption="__XL_Count Table1" measure="1" displayFolder="" measureGroup="Table1" count="0" hidden="1"/>
    <cacheHierarchy uniqueName="[Measures].[__XL_Count HR_Analytics]" caption="__XL_Count HR_Analytics" measure="1" displayFolder="" measureGroup="HR_Analytics" count="0" hidden="1"/>
    <cacheHierarchy uniqueName="[Measures].[__No measures defined]" caption="__No measures defined" measure="1" displayFolder="" count="0" hidden="1"/>
    <cacheHierarchy uniqueName="[Measures].[Sum of Age]" caption="Sum of Age" measure="1" displayFolder="" measureGroup="HR_Analytics" count="0" hidden="1">
      <extLst>
        <ext xmlns:x15="http://schemas.microsoft.com/office/spreadsheetml/2010/11/main" uri="{B97F6D7D-B522-45F9-BDA1-12C45D357490}">
          <x15:cacheHierarchy aggregatedColumn="1"/>
        </ext>
      </extLst>
    </cacheHierarchy>
    <cacheHierarchy uniqueName="[Measures].[Count of Attrition]" caption="Count of Attrition" measure="1" displayFolder="" measureGroup="HR_Analytics" count="0" hidden="1">
      <extLst>
        <ext xmlns:x15="http://schemas.microsoft.com/office/spreadsheetml/2010/11/main" uri="{B97F6D7D-B522-45F9-BDA1-12C45D357490}">
          <x15:cacheHierarchy aggregatedColumn="3"/>
        </ext>
      </extLst>
    </cacheHierarchy>
    <cacheHierarchy uniqueName="[Measures].[Count of OverTime]" caption="Count of OverTime" measure="1" displayFolder="" measureGroup="HR_Analytics" count="0" hidden="1">
      <extLst>
        <ext xmlns:x15="http://schemas.microsoft.com/office/spreadsheetml/2010/11/main" uri="{B97F6D7D-B522-45F9-BDA1-12C45D357490}">
          <x15:cacheHierarchy aggregatedColumn="25"/>
        </ext>
      </extLst>
    </cacheHierarchy>
    <cacheHierarchy uniqueName="[Measures].[Count of Department]" caption="Count of Department" measure="1" displayFolder="" measureGroup="HR_Analytics" count="0" hidden="1">
      <extLst>
        <ext xmlns:x15="http://schemas.microsoft.com/office/spreadsheetml/2010/11/main" uri="{B97F6D7D-B522-45F9-BDA1-12C45D357490}">
          <x15:cacheHierarchy aggregatedColumn="6"/>
        </ext>
      </extLst>
    </cacheHierarchy>
  </cacheHierarchies>
  <kpis count="0"/>
  <dimensions count="3">
    <dimension name="HR_Analytics" uniqueName="[HR_Analytics]" caption="HR_Analytics"/>
    <dimension measure="1" name="Measures" uniqueName="[Measures]" caption="Measures"/>
    <dimension name="Table1" uniqueName="[Table1]" caption="Table1"/>
  </dimensions>
  <measureGroups count="2">
    <measureGroup name="HR_Analytics" caption="HR_Analytics"/>
    <measureGroup name="Table1" caption="Table1"/>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323.833598263889" backgroundQuery="1" createdVersion="8" refreshedVersion="8" minRefreshableVersion="3" recordCount="0" supportSubquery="1" supportAdvancedDrill="1" xr:uid="{BCBC5D8A-E34A-46E4-948B-557B1DA06606}">
  <cacheSource type="external" connectionId="2"/>
  <cacheFields count="2">
    <cacheField name="[HR_Analytics].[Department].[Department]" caption="Department" numFmtId="0" hierarchy="6" level="1">
      <sharedItems count="3">
        <s v="Human Resources"/>
        <s v="Research &amp; Development"/>
        <s v="Sales"/>
      </sharedItems>
    </cacheField>
    <cacheField name="[Measures].[Stasfaction Score]" caption="Stasfaction Score" numFmtId="0" hierarchy="43" level="32767"/>
  </cacheFields>
  <cacheHierarchies count="56">
    <cacheHierarchy uniqueName="[HR_Analytics].[EmpID]" caption="EmpID" attribute="1" defaultMemberUniqueName="[HR_Analytics].[EmpID].[All]" allUniqueName="[HR_Analytics].[EmpID].[All]" dimensionUniqueName="[HR_Analytics]" displayFolder="" count="0" memberValueDatatype="130" unbalanced="0"/>
    <cacheHierarchy uniqueName="[HR_Analytics].[Age]" caption="Age" attribute="1" defaultMemberUniqueName="[HR_Analytics].[Age].[All]" allUniqueName="[HR_Analytics].[Age].[All]" dimensionUniqueName="[HR_Analytics]" displayFolder="" count="0" memberValueDatatype="20" unbalanced="0"/>
    <cacheHierarchy uniqueName="[HR_Analytics].[AgeGroup]" caption="AgeGroup" attribute="1" defaultMemberUniqueName="[HR_Analytics].[AgeGroup].[All]" allUniqueName="[HR_Analytics].[AgeGroup].[All]" dimensionUniqueName="[HR_Analytics]" displayFolder="" count="0" memberValueDatatype="130" unbalanced="0"/>
    <cacheHierarchy uniqueName="[HR_Analytics].[Attrition]" caption="Attrition" attribute="1" defaultMemberUniqueName="[HR_Analytics].[Attrition].[All]" allUniqueName="[HR_Analytics].[Attrition].[All]" dimensionUniqueName="[HR_Analytics]" displayFolder="" count="0" memberValueDatatype="130" unbalanced="0"/>
    <cacheHierarchy uniqueName="[HR_Analytics].[BusinessTravel]" caption="BusinessTravel" attribute="1" defaultMemberUniqueName="[HR_Analytics].[BusinessTravel].[All]" allUniqueName="[HR_Analytics].[BusinessTravel].[All]" dimensionUniqueName="[HR_Analytics]" displayFolder="" count="0" memberValueDatatype="130" unbalanced="0"/>
    <cacheHierarchy uniqueName="[HR_Analytics].[DailyRate]" caption="DailyRate" attribute="1" defaultMemberUniqueName="[HR_Analytics].[DailyRate].[All]" allUniqueName="[HR_Analytics].[DailyRate].[All]" dimensionUniqueName="[HR_Analytics]" displayFolder="" count="0" memberValueDatatype="20" unbalanced="0"/>
    <cacheHierarchy uniqueName="[HR_Analytics].[Department]" caption="Department" attribute="1" defaultMemberUniqueName="[HR_Analytics].[Department].[All]" allUniqueName="[HR_Analytics].[Department].[All]" dimensionUniqueName="[HR_Analytics]" displayFolder="" count="2" memberValueDatatype="130" unbalanced="0">
      <fieldsUsage count="2">
        <fieldUsage x="-1"/>
        <fieldUsage x="0"/>
      </fieldsUsage>
    </cacheHierarchy>
    <cacheHierarchy uniqueName="[HR_Analytics].[DistanceFromHome]" caption="DistanceFromHome" attribute="1" defaultMemberUniqueName="[HR_Analytics].[DistanceFromHome].[All]" allUniqueName="[HR_Analytics].[DistanceFromHome].[All]" dimensionUniqueName="[HR_Analytics]" displayFolder="" count="0" memberValueDatatype="20" unbalanced="0"/>
    <cacheHierarchy uniqueName="[HR_Analytics].[Education]" caption="Education" attribute="1" defaultMemberUniqueName="[HR_Analytics].[Education].[All]" allUniqueName="[HR_Analytics].[Education].[All]" dimensionUniqueName="[HR_Analytics]" displayFolder="" count="0" memberValueDatatype="20" unbalanced="0"/>
    <cacheHierarchy uniqueName="[HR_Analytics].[EducationField]" caption="EducationField" attribute="1" defaultMemberUniqueName="[HR_Analytics].[EducationField].[All]" allUniqueName="[HR_Analytics].[EducationField].[All]" dimensionUniqueName="[HR_Analytics]" displayFolder="" count="0" memberValueDatatype="130" unbalanced="0"/>
    <cacheHierarchy uniqueName="[HR_Analytics].[EmployeeCount]" caption="EmployeeCount" attribute="1" defaultMemberUniqueName="[HR_Analytics].[EmployeeCount].[All]" allUniqueName="[HR_Analytics].[EmployeeCount].[All]" dimensionUniqueName="[HR_Analytics]" displayFolder="" count="0" memberValueDatatype="20" unbalanced="0"/>
    <cacheHierarchy uniqueName="[HR_Analytics].[EmployeeNumber]" caption="EmployeeNumber" attribute="1" defaultMemberUniqueName="[HR_Analytics].[EmployeeNumber].[All]" allUniqueName="[HR_Analytics].[EmployeeNumber].[All]" dimensionUniqueName="[HR_Analytics]" displayFolder="" count="0" memberValueDatatype="20" unbalanced="0"/>
    <cacheHierarchy uniqueName="[HR_Analytics].[EnvironmentSatisfaction]" caption="EnvironmentSatisfaction" attribute="1" defaultMemberUniqueName="[HR_Analytics].[EnvironmentSatisfaction].[All]" allUniqueName="[HR_Analytics].[EnvironmentSatisfaction].[All]" dimensionUniqueName="[HR_Analytics]" displayFolder="" count="0" memberValueDatatype="20" unbalanced="0"/>
    <cacheHierarchy uniqueName="[HR_Analytics].[Gender]" caption="Gender" attribute="1" defaultMemberUniqueName="[HR_Analytics].[Gender].[All]" allUniqueName="[HR_Analytics].[Gender].[All]" dimensionUniqueName="[HR_Analytics]" displayFolder="" count="0" memberValueDatatype="130" unbalanced="0"/>
    <cacheHierarchy uniqueName="[HR_Analytics].[HourlyRate]" caption="HourlyRate" attribute="1" defaultMemberUniqueName="[HR_Analytics].[HourlyRate].[All]" allUniqueName="[HR_Analytics].[HourlyRate].[All]" dimensionUniqueName="[HR_Analytics]" displayFolder="" count="0" memberValueDatatype="20" unbalanced="0"/>
    <cacheHierarchy uniqueName="[HR_Analytics].[JobInvolvement]" caption="JobInvolvement" attribute="1" defaultMemberUniqueName="[HR_Analytics].[JobInvolvement].[All]" allUniqueName="[HR_Analytics].[JobInvolvement].[All]" dimensionUniqueName="[HR_Analytics]" displayFolder="" count="0" memberValueDatatype="20" unbalanced="0"/>
    <cacheHierarchy uniqueName="[HR_Analytics].[JobLevel]" caption="JobLevel" attribute="1" defaultMemberUniqueName="[HR_Analytics].[JobLevel].[All]" allUniqueName="[HR_Analytics].[JobLevel].[All]" dimensionUniqueName="[HR_Analytics]" displayFolder="" count="0" memberValueDatatype="20" unbalanced="0"/>
    <cacheHierarchy uniqueName="[HR_Analytics].[JobRole]" caption="JobRole" attribute="1" defaultMemberUniqueName="[HR_Analytics].[JobRole].[All]" allUniqueName="[HR_Analytics].[JobRole].[All]" dimensionUniqueName="[HR_Analytics]" displayFolder="" count="0" memberValueDatatype="130" unbalanced="0"/>
    <cacheHierarchy uniqueName="[HR_Analytics].[JobSatisfaction]" caption="JobSatisfaction" attribute="1" defaultMemberUniqueName="[HR_Analytics].[JobSatisfaction].[All]" allUniqueName="[HR_Analytics].[JobSatisfaction].[All]" dimensionUniqueName="[HR_Analytics]" displayFolder="" count="0" memberValueDatatype="20" unbalanced="0"/>
    <cacheHierarchy uniqueName="[HR_Analytics].[MaritalStatus]" caption="MaritalStatus" attribute="1" defaultMemberUniqueName="[HR_Analytics].[MaritalStatus].[All]" allUniqueName="[HR_Analytics].[MaritalStatus].[All]" dimensionUniqueName="[HR_Analytics]" displayFolder="" count="0" memberValueDatatype="130" unbalanced="0"/>
    <cacheHierarchy uniqueName="[HR_Analytics].[MonthlyIncome]" caption="MonthlyIncome" attribute="1" defaultMemberUniqueName="[HR_Analytics].[MonthlyIncome].[All]" allUniqueName="[HR_Analytics].[MonthlyIncome].[All]" dimensionUniqueName="[HR_Analytics]" displayFolder="" count="0" memberValueDatatype="20" unbalanced="0"/>
    <cacheHierarchy uniqueName="[HR_Analytics].[SalarySlab]" caption="SalarySlab" attribute="1" defaultMemberUniqueName="[HR_Analytics].[SalarySlab].[All]" allUniqueName="[HR_Analytics].[SalarySlab].[All]" dimensionUniqueName="[HR_Analytics]" displayFolder="" count="2" memberValueDatatype="130" unbalanced="0"/>
    <cacheHierarchy uniqueName="[HR_Analytics].[MonthlyRate]" caption="MonthlyRate" attribute="1" defaultMemberUniqueName="[HR_Analytics].[MonthlyRate].[All]" allUniqueName="[HR_Analytics].[MonthlyRate].[All]" dimensionUniqueName="[HR_Analytics]" displayFolder="" count="0" memberValueDatatype="20" unbalanced="0"/>
    <cacheHierarchy uniqueName="[HR_Analytics].[NumCompaniesWorked]" caption="NumCompaniesWorked" attribute="1" defaultMemberUniqueName="[HR_Analytics].[NumCompaniesWorked].[All]" allUniqueName="[HR_Analytics].[NumCompaniesWorked].[All]" dimensionUniqueName="[HR_Analytics]" displayFolder="" count="0" memberValueDatatype="20" unbalanced="0"/>
    <cacheHierarchy uniqueName="[HR_Analytics].[Over18]" caption="Over18" attribute="1" defaultMemberUniqueName="[HR_Analytics].[Over18].[All]" allUniqueName="[HR_Analytics].[Over18].[All]" dimensionUniqueName="[HR_Analytics]" displayFolder="" count="0" memberValueDatatype="130" unbalanced="0"/>
    <cacheHierarchy uniqueName="[HR_Analytics].[OverTime]" caption="OverTime" attribute="1" defaultMemberUniqueName="[HR_Analytics].[OverTime].[All]" allUniqueName="[HR_Analytics].[OverTime].[All]" dimensionUniqueName="[HR_Analytics]" displayFolder="" count="0" memberValueDatatype="130" unbalanced="0"/>
    <cacheHierarchy uniqueName="[HR_Analytics].[PercentSalaryHike]" caption="PercentSalaryHike" attribute="1" defaultMemberUniqueName="[HR_Analytics].[PercentSalaryHike].[All]" allUniqueName="[HR_Analytics].[PercentSalaryHike].[All]" dimensionUniqueName="[HR_Analytics]" displayFolder="" count="0" memberValueDatatype="20" unbalanced="0"/>
    <cacheHierarchy uniqueName="[HR_Analytics].[PerformanceRating]" caption="PerformanceRating" attribute="1" defaultMemberUniqueName="[HR_Analytics].[PerformanceRating].[All]" allUniqueName="[HR_Analytics].[PerformanceRating].[All]" dimensionUniqueName="[HR_Analytics]" displayFolder="" count="0" memberValueDatatype="20" unbalanced="0"/>
    <cacheHierarchy uniqueName="[HR_Analytics].[RelationshipSatisfaction]" caption="RelationshipSatisfaction" attribute="1" defaultMemberUniqueName="[HR_Analytics].[RelationshipSatisfaction].[All]" allUniqueName="[HR_Analytics].[RelationshipSatisfaction].[All]" dimensionUniqueName="[HR_Analytics]" displayFolder="" count="0" memberValueDatatype="20" unbalanced="0"/>
    <cacheHierarchy uniqueName="[HR_Analytics].[StandardHours]" caption="StandardHours" attribute="1" defaultMemberUniqueName="[HR_Analytics].[StandardHours].[All]" allUniqueName="[HR_Analytics].[StandardHours].[All]" dimensionUniqueName="[HR_Analytics]" displayFolder="" count="0" memberValueDatatype="20" unbalanced="0"/>
    <cacheHierarchy uniqueName="[HR_Analytics].[StockOptionLevel]" caption="StockOptionLevel" attribute="1" defaultMemberUniqueName="[HR_Analytics].[StockOptionLevel].[All]" allUniqueName="[HR_Analytics].[StockOptionLevel].[All]" dimensionUniqueName="[HR_Analytics]" displayFolder="" count="0" memberValueDatatype="20" unbalanced="0"/>
    <cacheHierarchy uniqueName="[HR_Analytics].[TotalWorkingYears]" caption="TotalWorkingYears" attribute="1" defaultMemberUniqueName="[HR_Analytics].[TotalWorkingYears].[All]" allUniqueName="[HR_Analytics].[TotalWorkingYears].[All]" dimensionUniqueName="[HR_Analytics]" displayFolder="" count="0" memberValueDatatype="20" unbalanced="0"/>
    <cacheHierarchy uniqueName="[HR_Analytics].[TrainingTimesLastYear]" caption="TrainingTimesLastYear" attribute="1" defaultMemberUniqueName="[HR_Analytics].[TrainingTimesLastYear].[All]" allUniqueName="[HR_Analytics].[TrainingTimesLastYear].[All]" dimensionUniqueName="[HR_Analytics]" displayFolder="" count="0" memberValueDatatype="20" unbalanced="0"/>
    <cacheHierarchy uniqueName="[HR_Analytics].[WorkLifeBalance]" caption="WorkLifeBalance" attribute="1" defaultMemberUniqueName="[HR_Analytics].[WorkLifeBalance].[All]" allUniqueName="[HR_Analytics].[WorkLifeBalance].[All]" dimensionUniqueName="[HR_Analytics]" displayFolder="" count="0" memberValueDatatype="20" unbalanced="0"/>
    <cacheHierarchy uniqueName="[HR_Analytics].[YearsAtCompany]" caption="YearsAtCompany" attribute="1" defaultMemberUniqueName="[HR_Analytics].[YearsAtCompany].[All]" allUniqueName="[HR_Analytics].[YearsAtCompany].[All]" dimensionUniqueName="[HR_Analytics]" displayFolder="" count="0" memberValueDatatype="20" unbalanced="0"/>
    <cacheHierarchy uniqueName="[HR_Analytics].[YearsInCurrentRole]" caption="YearsInCurrentRole" attribute="1" defaultMemberUniqueName="[HR_Analytics].[YearsInCurrentRole].[All]" allUniqueName="[HR_Analytics].[YearsInCurrentRole].[All]" dimensionUniqueName="[HR_Analytics]" displayFolder="" count="0" memberValueDatatype="20" unbalanced="0"/>
    <cacheHierarchy uniqueName="[HR_Analytics].[YearsSinceLastPromotion]" caption="YearsSinceLastPromotion" attribute="1" defaultMemberUniqueName="[HR_Analytics].[YearsSinceLastPromotion].[All]" allUniqueName="[HR_Analytics].[YearsSinceLastPromotion].[All]" dimensionUniqueName="[HR_Analytics]" displayFolder="" count="0" memberValueDatatype="20" unbalanced="0"/>
    <cacheHierarchy uniqueName="[HR_Analytics].[YearsWithCurrManager]" caption="YearsWithCurrManager" attribute="1" defaultMemberUniqueName="[HR_Analytics].[YearsWithCurrManager].[All]" allUniqueName="[HR_Analytics].[YearsWithCurrManager].[All]" dimensionUniqueName="[HR_Analytics]" displayFolder="" count="0" memberValueDatatype="5" unbalanced="0"/>
    <cacheHierarchy uniqueName="[Table1].[Column]" caption="Column" attribute="1" defaultMemberUniqueName="[Table1].[Column].[All]" allUniqueName="[Table1].[Column].[All]" dimensionUniqueName="[Table1]" displayFolder="" count="0" memberValueDatatype="130" unbalanced="0"/>
    <cacheHierarchy uniqueName="[Table1].[المعنى بالعربي]" caption="المعنى بالعربي" attribute="1" defaultMemberUniqueName="[Table1].[المعنى بالعربي].[All]" allUniqueName="[Table1].[المعنى بالعربي].[All]" dimensionUniqueName="[Table1]" displayFolder="" count="0" memberValueDatatype="130" unbalanced="0"/>
    <cacheHierarchy uniqueName="[Measures].[Total Employess]" caption="Total Employess" measure="1" displayFolder="" measureGroup="HR_Analytics" count="0"/>
    <cacheHierarchy uniqueName="[Measures].[Attrition Rate]" caption="Attrition Rate" measure="1" displayFolder="" measureGroup="HR_Analytics" count="0"/>
    <cacheHierarchy uniqueName="[Measures].[Overtime Rate]" caption="Overtime Rate" measure="1" displayFolder="" measureGroup="HR_Analytics" count="0"/>
    <cacheHierarchy uniqueName="[Measures].[Stasfaction Score]" caption="Stasfaction Score" measure="1" displayFolder="" measureGroup="HR_Analytics" count="0" oneField="1">
      <fieldsUsage count="1">
        <fieldUsage x="1"/>
      </fieldsUsage>
    </cacheHierarchy>
    <cacheHierarchy uniqueName="[Measures].[Monthly Income]" caption="Monthly Income" measure="1" displayFolder="" measureGroup="HR_Analytics" count="0"/>
    <cacheHierarchy uniqueName="[Measures].[Avg Age]" caption="Avg Age" measure="1" displayFolder="" measureGroup="HR_Analytics" count="0"/>
    <cacheHierarchy uniqueName="[Measures].[Avg Tenure]" caption="Avg Tenure" measure="1" displayFolder="" measureGroup="HR_Analytics" count="0"/>
    <cacheHierarchy uniqueName="[Measures].[Avg Env Sat]" caption="Avg Env Sat" measure="1" displayFolder="" measureGroup="HR_Analytics" count="0"/>
    <cacheHierarchy uniqueName="[Measures].[Avg WLB]" caption="Avg WLB" measure="1" displayFolder="" measureGroup="HR_Analytics" count="0"/>
    <cacheHierarchy uniqueName="[Measures].[__XL_Count Table1]" caption="__XL_Count Table1" measure="1" displayFolder="" measureGroup="Table1" count="0" hidden="1"/>
    <cacheHierarchy uniqueName="[Measures].[__XL_Count HR_Analytics]" caption="__XL_Count HR_Analytics" measure="1" displayFolder="" measureGroup="HR_Analytics" count="0" hidden="1"/>
    <cacheHierarchy uniqueName="[Measures].[__No measures defined]" caption="__No measures defined" measure="1" displayFolder="" count="0" hidden="1"/>
    <cacheHierarchy uniqueName="[Measures].[Sum of Age]" caption="Sum of Age" measure="1" displayFolder="" measureGroup="HR_Analytics" count="0" hidden="1">
      <extLst>
        <ext xmlns:x15="http://schemas.microsoft.com/office/spreadsheetml/2010/11/main" uri="{B97F6D7D-B522-45F9-BDA1-12C45D357490}">
          <x15:cacheHierarchy aggregatedColumn="1"/>
        </ext>
      </extLst>
    </cacheHierarchy>
    <cacheHierarchy uniqueName="[Measures].[Count of Attrition]" caption="Count of Attrition" measure="1" displayFolder="" measureGroup="HR_Analytics" count="0" hidden="1">
      <extLst>
        <ext xmlns:x15="http://schemas.microsoft.com/office/spreadsheetml/2010/11/main" uri="{B97F6D7D-B522-45F9-BDA1-12C45D357490}">
          <x15:cacheHierarchy aggregatedColumn="3"/>
        </ext>
      </extLst>
    </cacheHierarchy>
    <cacheHierarchy uniqueName="[Measures].[Count of OverTime]" caption="Count of OverTime" measure="1" displayFolder="" measureGroup="HR_Analytics" count="0" hidden="1">
      <extLst>
        <ext xmlns:x15="http://schemas.microsoft.com/office/spreadsheetml/2010/11/main" uri="{B97F6D7D-B522-45F9-BDA1-12C45D357490}">
          <x15:cacheHierarchy aggregatedColumn="25"/>
        </ext>
      </extLst>
    </cacheHierarchy>
    <cacheHierarchy uniqueName="[Measures].[Count of Department]" caption="Count of Department" measure="1" displayFolder="" measureGroup="HR_Analytics" count="0" hidden="1">
      <extLst>
        <ext xmlns:x15="http://schemas.microsoft.com/office/spreadsheetml/2010/11/main" uri="{B97F6D7D-B522-45F9-BDA1-12C45D357490}">
          <x15:cacheHierarchy aggregatedColumn="6"/>
        </ext>
      </extLst>
    </cacheHierarchy>
  </cacheHierarchies>
  <kpis count="0"/>
  <dimensions count="3">
    <dimension name="HR_Analytics" uniqueName="[HR_Analytics]" caption="HR_Analytics"/>
    <dimension measure="1" name="Measures" uniqueName="[Measures]" caption="Measures"/>
    <dimension name="Table1" uniqueName="[Table1]" caption="Table1"/>
  </dimensions>
  <measureGroups count="2">
    <measureGroup name="HR_Analytics" caption="HR_Analytics"/>
    <measureGroup name="Table1" caption="Table1"/>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323.833605208332" backgroundQuery="1" createdVersion="8" refreshedVersion="8" minRefreshableVersion="3" recordCount="0" supportSubquery="1" supportAdvancedDrill="1" xr:uid="{6BA22A6B-2E67-4D54-AAC9-DA6D8A2EA4EF}">
  <cacheSource type="external" connectionId="2"/>
  <cacheFields count="2">
    <cacheField name="[Measures].[Count of Attrition]" caption="Count of Attrition" numFmtId="0" hierarchy="53" level="32767"/>
    <cacheField name="[HR_Analytics].[Department].[Department]" caption="Department" numFmtId="0" hierarchy="6" level="1">
      <sharedItems count="3">
        <s v="Human Resources"/>
        <s v="Research &amp; Development"/>
        <s v="Sales"/>
      </sharedItems>
    </cacheField>
  </cacheFields>
  <cacheHierarchies count="56">
    <cacheHierarchy uniqueName="[HR_Analytics].[EmpID]" caption="EmpID" attribute="1" defaultMemberUniqueName="[HR_Analytics].[EmpID].[All]" allUniqueName="[HR_Analytics].[EmpID].[All]" dimensionUniqueName="[HR_Analytics]" displayFolder="" count="0" memberValueDatatype="130" unbalanced="0"/>
    <cacheHierarchy uniqueName="[HR_Analytics].[Age]" caption="Age" attribute="1" defaultMemberUniqueName="[HR_Analytics].[Age].[All]" allUniqueName="[HR_Analytics].[Age].[All]" dimensionUniqueName="[HR_Analytics]" displayFolder="" count="0" memberValueDatatype="20" unbalanced="0"/>
    <cacheHierarchy uniqueName="[HR_Analytics].[AgeGroup]" caption="AgeGroup" attribute="1" defaultMemberUniqueName="[HR_Analytics].[AgeGroup].[All]" allUniqueName="[HR_Analytics].[AgeGroup].[All]" dimensionUniqueName="[HR_Analytics]" displayFolder="" count="0" memberValueDatatype="130" unbalanced="0"/>
    <cacheHierarchy uniqueName="[HR_Analytics].[Attrition]" caption="Attrition" attribute="1" defaultMemberUniqueName="[HR_Analytics].[Attrition].[All]" allUniqueName="[HR_Analytics].[Attrition].[All]" dimensionUniqueName="[HR_Analytics]" displayFolder="" count="0" memberValueDatatype="130" unbalanced="0"/>
    <cacheHierarchy uniqueName="[HR_Analytics].[BusinessTravel]" caption="BusinessTravel" attribute="1" defaultMemberUniqueName="[HR_Analytics].[BusinessTravel].[All]" allUniqueName="[HR_Analytics].[BusinessTravel].[All]" dimensionUniqueName="[HR_Analytics]" displayFolder="" count="0" memberValueDatatype="130" unbalanced="0"/>
    <cacheHierarchy uniqueName="[HR_Analytics].[DailyRate]" caption="DailyRate" attribute="1" defaultMemberUniqueName="[HR_Analytics].[DailyRate].[All]" allUniqueName="[HR_Analytics].[DailyRate].[All]" dimensionUniqueName="[HR_Analytics]" displayFolder="" count="0" memberValueDatatype="20" unbalanced="0"/>
    <cacheHierarchy uniqueName="[HR_Analytics].[Department]" caption="Department" attribute="1" defaultMemberUniqueName="[HR_Analytics].[Department].[All]" allUniqueName="[HR_Analytics].[Department].[All]" dimensionUniqueName="[HR_Analytics]" displayFolder="" count="2" memberValueDatatype="130" unbalanced="0">
      <fieldsUsage count="2">
        <fieldUsage x="-1"/>
        <fieldUsage x="1"/>
      </fieldsUsage>
    </cacheHierarchy>
    <cacheHierarchy uniqueName="[HR_Analytics].[DistanceFromHome]" caption="DistanceFromHome" attribute="1" defaultMemberUniqueName="[HR_Analytics].[DistanceFromHome].[All]" allUniqueName="[HR_Analytics].[DistanceFromHome].[All]" dimensionUniqueName="[HR_Analytics]" displayFolder="" count="0" memberValueDatatype="20" unbalanced="0"/>
    <cacheHierarchy uniqueName="[HR_Analytics].[Education]" caption="Education" attribute="1" defaultMemberUniqueName="[HR_Analytics].[Education].[All]" allUniqueName="[HR_Analytics].[Education].[All]" dimensionUniqueName="[HR_Analytics]" displayFolder="" count="0" memberValueDatatype="20" unbalanced="0"/>
    <cacheHierarchy uniqueName="[HR_Analytics].[EducationField]" caption="EducationField" attribute="1" defaultMemberUniqueName="[HR_Analytics].[EducationField].[All]" allUniqueName="[HR_Analytics].[EducationField].[All]" dimensionUniqueName="[HR_Analytics]" displayFolder="" count="0" memberValueDatatype="130" unbalanced="0"/>
    <cacheHierarchy uniqueName="[HR_Analytics].[EmployeeCount]" caption="EmployeeCount" attribute="1" defaultMemberUniqueName="[HR_Analytics].[EmployeeCount].[All]" allUniqueName="[HR_Analytics].[EmployeeCount].[All]" dimensionUniqueName="[HR_Analytics]" displayFolder="" count="0" memberValueDatatype="20" unbalanced="0"/>
    <cacheHierarchy uniqueName="[HR_Analytics].[EmployeeNumber]" caption="EmployeeNumber" attribute="1" defaultMemberUniqueName="[HR_Analytics].[EmployeeNumber].[All]" allUniqueName="[HR_Analytics].[EmployeeNumber].[All]" dimensionUniqueName="[HR_Analytics]" displayFolder="" count="0" memberValueDatatype="20" unbalanced="0"/>
    <cacheHierarchy uniqueName="[HR_Analytics].[EnvironmentSatisfaction]" caption="EnvironmentSatisfaction" attribute="1" defaultMemberUniqueName="[HR_Analytics].[EnvironmentSatisfaction].[All]" allUniqueName="[HR_Analytics].[EnvironmentSatisfaction].[All]" dimensionUniqueName="[HR_Analytics]" displayFolder="" count="0" memberValueDatatype="20" unbalanced="0"/>
    <cacheHierarchy uniqueName="[HR_Analytics].[Gender]" caption="Gender" attribute="1" defaultMemberUniqueName="[HR_Analytics].[Gender].[All]" allUniqueName="[HR_Analytics].[Gender].[All]" dimensionUniqueName="[HR_Analytics]" displayFolder="" count="0" memberValueDatatype="130" unbalanced="0"/>
    <cacheHierarchy uniqueName="[HR_Analytics].[HourlyRate]" caption="HourlyRate" attribute="1" defaultMemberUniqueName="[HR_Analytics].[HourlyRate].[All]" allUniqueName="[HR_Analytics].[HourlyRate].[All]" dimensionUniqueName="[HR_Analytics]" displayFolder="" count="0" memberValueDatatype="20" unbalanced="0"/>
    <cacheHierarchy uniqueName="[HR_Analytics].[JobInvolvement]" caption="JobInvolvement" attribute="1" defaultMemberUniqueName="[HR_Analytics].[JobInvolvement].[All]" allUniqueName="[HR_Analytics].[JobInvolvement].[All]" dimensionUniqueName="[HR_Analytics]" displayFolder="" count="0" memberValueDatatype="20" unbalanced="0"/>
    <cacheHierarchy uniqueName="[HR_Analytics].[JobLevel]" caption="JobLevel" attribute="1" defaultMemberUniqueName="[HR_Analytics].[JobLevel].[All]" allUniqueName="[HR_Analytics].[JobLevel].[All]" dimensionUniqueName="[HR_Analytics]" displayFolder="" count="0" memberValueDatatype="20" unbalanced="0"/>
    <cacheHierarchy uniqueName="[HR_Analytics].[JobRole]" caption="JobRole" attribute="1" defaultMemberUniqueName="[HR_Analytics].[JobRole].[All]" allUniqueName="[HR_Analytics].[JobRole].[All]" dimensionUniqueName="[HR_Analytics]" displayFolder="" count="0" memberValueDatatype="130" unbalanced="0"/>
    <cacheHierarchy uniqueName="[HR_Analytics].[JobSatisfaction]" caption="JobSatisfaction" attribute="1" defaultMemberUniqueName="[HR_Analytics].[JobSatisfaction].[All]" allUniqueName="[HR_Analytics].[JobSatisfaction].[All]" dimensionUniqueName="[HR_Analytics]" displayFolder="" count="0" memberValueDatatype="20" unbalanced="0"/>
    <cacheHierarchy uniqueName="[HR_Analytics].[MaritalStatus]" caption="MaritalStatus" attribute="1" defaultMemberUniqueName="[HR_Analytics].[MaritalStatus].[All]" allUniqueName="[HR_Analytics].[MaritalStatus].[All]" dimensionUniqueName="[HR_Analytics]" displayFolder="" count="0" memberValueDatatype="130" unbalanced="0"/>
    <cacheHierarchy uniqueName="[HR_Analytics].[MonthlyIncome]" caption="MonthlyIncome" attribute="1" defaultMemberUniqueName="[HR_Analytics].[MonthlyIncome].[All]" allUniqueName="[HR_Analytics].[MonthlyIncome].[All]" dimensionUniqueName="[HR_Analytics]" displayFolder="" count="0" memberValueDatatype="20" unbalanced="0"/>
    <cacheHierarchy uniqueName="[HR_Analytics].[SalarySlab]" caption="SalarySlab" attribute="1" defaultMemberUniqueName="[HR_Analytics].[SalarySlab].[All]" allUniqueName="[HR_Analytics].[SalarySlab].[All]" dimensionUniqueName="[HR_Analytics]" displayFolder="" count="2" memberValueDatatype="130" unbalanced="0"/>
    <cacheHierarchy uniqueName="[HR_Analytics].[MonthlyRate]" caption="MonthlyRate" attribute="1" defaultMemberUniqueName="[HR_Analytics].[MonthlyRate].[All]" allUniqueName="[HR_Analytics].[MonthlyRate].[All]" dimensionUniqueName="[HR_Analytics]" displayFolder="" count="0" memberValueDatatype="20" unbalanced="0"/>
    <cacheHierarchy uniqueName="[HR_Analytics].[NumCompaniesWorked]" caption="NumCompaniesWorked" attribute="1" defaultMemberUniqueName="[HR_Analytics].[NumCompaniesWorked].[All]" allUniqueName="[HR_Analytics].[NumCompaniesWorked].[All]" dimensionUniqueName="[HR_Analytics]" displayFolder="" count="0" memberValueDatatype="20" unbalanced="0"/>
    <cacheHierarchy uniqueName="[HR_Analytics].[Over18]" caption="Over18" attribute="1" defaultMemberUniqueName="[HR_Analytics].[Over18].[All]" allUniqueName="[HR_Analytics].[Over18].[All]" dimensionUniqueName="[HR_Analytics]" displayFolder="" count="0" memberValueDatatype="130" unbalanced="0"/>
    <cacheHierarchy uniqueName="[HR_Analytics].[OverTime]" caption="OverTime" attribute="1" defaultMemberUniqueName="[HR_Analytics].[OverTime].[All]" allUniqueName="[HR_Analytics].[OverTime].[All]" dimensionUniqueName="[HR_Analytics]" displayFolder="" count="0" memberValueDatatype="130" unbalanced="0"/>
    <cacheHierarchy uniqueName="[HR_Analytics].[PercentSalaryHike]" caption="PercentSalaryHike" attribute="1" defaultMemberUniqueName="[HR_Analytics].[PercentSalaryHike].[All]" allUniqueName="[HR_Analytics].[PercentSalaryHike].[All]" dimensionUniqueName="[HR_Analytics]" displayFolder="" count="0" memberValueDatatype="20" unbalanced="0"/>
    <cacheHierarchy uniqueName="[HR_Analytics].[PerformanceRating]" caption="PerformanceRating" attribute="1" defaultMemberUniqueName="[HR_Analytics].[PerformanceRating].[All]" allUniqueName="[HR_Analytics].[PerformanceRating].[All]" dimensionUniqueName="[HR_Analytics]" displayFolder="" count="0" memberValueDatatype="20" unbalanced="0"/>
    <cacheHierarchy uniqueName="[HR_Analytics].[RelationshipSatisfaction]" caption="RelationshipSatisfaction" attribute="1" defaultMemberUniqueName="[HR_Analytics].[RelationshipSatisfaction].[All]" allUniqueName="[HR_Analytics].[RelationshipSatisfaction].[All]" dimensionUniqueName="[HR_Analytics]" displayFolder="" count="0" memberValueDatatype="20" unbalanced="0"/>
    <cacheHierarchy uniqueName="[HR_Analytics].[StandardHours]" caption="StandardHours" attribute="1" defaultMemberUniqueName="[HR_Analytics].[StandardHours].[All]" allUniqueName="[HR_Analytics].[StandardHours].[All]" dimensionUniqueName="[HR_Analytics]" displayFolder="" count="0" memberValueDatatype="20" unbalanced="0"/>
    <cacheHierarchy uniqueName="[HR_Analytics].[StockOptionLevel]" caption="StockOptionLevel" attribute="1" defaultMemberUniqueName="[HR_Analytics].[StockOptionLevel].[All]" allUniqueName="[HR_Analytics].[StockOptionLevel].[All]" dimensionUniqueName="[HR_Analytics]" displayFolder="" count="0" memberValueDatatype="20" unbalanced="0"/>
    <cacheHierarchy uniqueName="[HR_Analytics].[TotalWorkingYears]" caption="TotalWorkingYears" attribute="1" defaultMemberUniqueName="[HR_Analytics].[TotalWorkingYears].[All]" allUniqueName="[HR_Analytics].[TotalWorkingYears].[All]" dimensionUniqueName="[HR_Analytics]" displayFolder="" count="0" memberValueDatatype="20" unbalanced="0"/>
    <cacheHierarchy uniqueName="[HR_Analytics].[TrainingTimesLastYear]" caption="TrainingTimesLastYear" attribute="1" defaultMemberUniqueName="[HR_Analytics].[TrainingTimesLastYear].[All]" allUniqueName="[HR_Analytics].[TrainingTimesLastYear].[All]" dimensionUniqueName="[HR_Analytics]" displayFolder="" count="0" memberValueDatatype="20" unbalanced="0"/>
    <cacheHierarchy uniqueName="[HR_Analytics].[WorkLifeBalance]" caption="WorkLifeBalance" attribute="1" defaultMemberUniqueName="[HR_Analytics].[WorkLifeBalance].[All]" allUniqueName="[HR_Analytics].[WorkLifeBalance].[All]" dimensionUniqueName="[HR_Analytics]" displayFolder="" count="0" memberValueDatatype="20" unbalanced="0"/>
    <cacheHierarchy uniqueName="[HR_Analytics].[YearsAtCompany]" caption="YearsAtCompany" attribute="1" defaultMemberUniqueName="[HR_Analytics].[YearsAtCompany].[All]" allUniqueName="[HR_Analytics].[YearsAtCompany].[All]" dimensionUniqueName="[HR_Analytics]" displayFolder="" count="0" memberValueDatatype="20" unbalanced="0"/>
    <cacheHierarchy uniqueName="[HR_Analytics].[YearsInCurrentRole]" caption="YearsInCurrentRole" attribute="1" defaultMemberUniqueName="[HR_Analytics].[YearsInCurrentRole].[All]" allUniqueName="[HR_Analytics].[YearsInCurrentRole].[All]" dimensionUniqueName="[HR_Analytics]" displayFolder="" count="0" memberValueDatatype="20" unbalanced="0"/>
    <cacheHierarchy uniqueName="[HR_Analytics].[YearsSinceLastPromotion]" caption="YearsSinceLastPromotion" attribute="1" defaultMemberUniqueName="[HR_Analytics].[YearsSinceLastPromotion].[All]" allUniqueName="[HR_Analytics].[YearsSinceLastPromotion].[All]" dimensionUniqueName="[HR_Analytics]" displayFolder="" count="0" memberValueDatatype="20" unbalanced="0"/>
    <cacheHierarchy uniqueName="[HR_Analytics].[YearsWithCurrManager]" caption="YearsWithCurrManager" attribute="1" defaultMemberUniqueName="[HR_Analytics].[YearsWithCurrManager].[All]" allUniqueName="[HR_Analytics].[YearsWithCurrManager].[All]" dimensionUniqueName="[HR_Analytics]" displayFolder="" count="0" memberValueDatatype="5" unbalanced="0"/>
    <cacheHierarchy uniqueName="[Table1].[Column]" caption="Column" attribute="1" defaultMemberUniqueName="[Table1].[Column].[All]" allUniqueName="[Table1].[Column].[All]" dimensionUniqueName="[Table1]" displayFolder="" count="0" memberValueDatatype="130" unbalanced="0"/>
    <cacheHierarchy uniqueName="[Table1].[المعنى بالعربي]" caption="المعنى بالعربي" attribute="1" defaultMemberUniqueName="[Table1].[المعنى بالعربي].[All]" allUniqueName="[Table1].[المعنى بالعربي].[All]" dimensionUniqueName="[Table1]" displayFolder="" count="0" memberValueDatatype="130" unbalanced="0"/>
    <cacheHierarchy uniqueName="[Measures].[Total Employess]" caption="Total Employess" measure="1" displayFolder="" measureGroup="HR_Analytics" count="0"/>
    <cacheHierarchy uniqueName="[Measures].[Attrition Rate]" caption="Attrition Rate" measure="1" displayFolder="" measureGroup="HR_Analytics" count="0"/>
    <cacheHierarchy uniqueName="[Measures].[Overtime Rate]" caption="Overtime Rate" measure="1" displayFolder="" measureGroup="HR_Analytics" count="0"/>
    <cacheHierarchy uniqueName="[Measures].[Stasfaction Score]" caption="Stasfaction Score" measure="1" displayFolder="" measureGroup="HR_Analytics" count="0"/>
    <cacheHierarchy uniqueName="[Measures].[Monthly Income]" caption="Monthly Income" measure="1" displayFolder="" measureGroup="HR_Analytics" count="0"/>
    <cacheHierarchy uniqueName="[Measures].[Avg Age]" caption="Avg Age" measure="1" displayFolder="" measureGroup="HR_Analytics" count="0"/>
    <cacheHierarchy uniqueName="[Measures].[Avg Tenure]" caption="Avg Tenure" measure="1" displayFolder="" measureGroup="HR_Analytics" count="0"/>
    <cacheHierarchy uniqueName="[Measures].[Avg Env Sat]" caption="Avg Env Sat" measure="1" displayFolder="" measureGroup="HR_Analytics" count="0"/>
    <cacheHierarchy uniqueName="[Measures].[Avg WLB]" caption="Avg WLB" measure="1" displayFolder="" measureGroup="HR_Analytics" count="0"/>
    <cacheHierarchy uniqueName="[Measures].[__XL_Count Table1]" caption="__XL_Count Table1" measure="1" displayFolder="" measureGroup="Table1" count="0" hidden="1"/>
    <cacheHierarchy uniqueName="[Measures].[__XL_Count HR_Analytics]" caption="__XL_Count HR_Analytics" measure="1" displayFolder="" measureGroup="HR_Analytics" count="0" hidden="1"/>
    <cacheHierarchy uniqueName="[Measures].[__No measures defined]" caption="__No measures defined" measure="1" displayFolder="" count="0" hidden="1"/>
    <cacheHierarchy uniqueName="[Measures].[Sum of Age]" caption="Sum of Age" measure="1" displayFolder="" measureGroup="HR_Analytics" count="0" hidden="1">
      <extLst>
        <ext xmlns:x15="http://schemas.microsoft.com/office/spreadsheetml/2010/11/main" uri="{B97F6D7D-B522-45F9-BDA1-12C45D357490}">
          <x15:cacheHierarchy aggregatedColumn="1"/>
        </ext>
      </extLst>
    </cacheHierarchy>
    <cacheHierarchy uniqueName="[Measures].[Count of Attrition]" caption="Count of Attrition" measure="1" displayFolder="" measureGroup="HR_Analytics" count="0" oneField="1" hidden="1">
      <fieldsUsage count="1">
        <fieldUsage x="0"/>
      </fieldsUsage>
      <extLst>
        <ext xmlns:x15="http://schemas.microsoft.com/office/spreadsheetml/2010/11/main" uri="{B97F6D7D-B522-45F9-BDA1-12C45D357490}">
          <x15:cacheHierarchy aggregatedColumn="3"/>
        </ext>
      </extLst>
    </cacheHierarchy>
    <cacheHierarchy uniqueName="[Measures].[Count of OverTime]" caption="Count of OverTime" measure="1" displayFolder="" measureGroup="HR_Analytics" count="0" hidden="1">
      <extLst>
        <ext xmlns:x15="http://schemas.microsoft.com/office/spreadsheetml/2010/11/main" uri="{B97F6D7D-B522-45F9-BDA1-12C45D357490}">
          <x15:cacheHierarchy aggregatedColumn="25"/>
        </ext>
      </extLst>
    </cacheHierarchy>
    <cacheHierarchy uniqueName="[Measures].[Count of Department]" caption="Count of Department" measure="1" displayFolder="" measureGroup="HR_Analytics" count="0" hidden="1">
      <extLst>
        <ext xmlns:x15="http://schemas.microsoft.com/office/spreadsheetml/2010/11/main" uri="{B97F6D7D-B522-45F9-BDA1-12C45D357490}">
          <x15:cacheHierarchy aggregatedColumn="6"/>
        </ext>
      </extLst>
    </cacheHierarchy>
  </cacheHierarchies>
  <kpis count="0"/>
  <dimensions count="3">
    <dimension name="HR_Analytics" uniqueName="[HR_Analytics]" caption="HR_Analytics"/>
    <dimension measure="1" name="Measures" uniqueName="[Measures]" caption="Measures"/>
    <dimension name="Table1" uniqueName="[Table1]" caption="Table1"/>
  </dimensions>
  <measureGroups count="2">
    <measureGroup name="HR_Analytics" caption="HR_Analytics"/>
    <measureGroup name="Table1" caption="Table1"/>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323.833605671294" backgroundQuery="1" createdVersion="8" refreshedVersion="8" minRefreshableVersion="3" recordCount="0" supportSubquery="1" supportAdvancedDrill="1" xr:uid="{B332EFDD-481A-4F7F-A60B-C5A2C8134174}">
  <cacheSource type="external" connectionId="2"/>
  <cacheFields count="2">
    <cacheField name="[HR_Analytics].[Department].[Department]" caption="Department" numFmtId="0" hierarchy="6" level="1">
      <sharedItems count="3">
        <s v="Human Resources"/>
        <s v="Research &amp; Development"/>
        <s v="Sales"/>
      </sharedItems>
    </cacheField>
    <cacheField name="[Measures].[Count of OverTime]" caption="Count of OverTime" numFmtId="0" hierarchy="54" level="32767"/>
  </cacheFields>
  <cacheHierarchies count="56">
    <cacheHierarchy uniqueName="[HR_Analytics].[EmpID]" caption="EmpID" attribute="1" defaultMemberUniqueName="[HR_Analytics].[EmpID].[All]" allUniqueName="[HR_Analytics].[EmpID].[All]" dimensionUniqueName="[HR_Analytics]" displayFolder="" count="0" memberValueDatatype="130" unbalanced="0"/>
    <cacheHierarchy uniqueName="[HR_Analytics].[Age]" caption="Age" attribute="1" defaultMemberUniqueName="[HR_Analytics].[Age].[All]" allUniqueName="[HR_Analytics].[Age].[All]" dimensionUniqueName="[HR_Analytics]" displayFolder="" count="0" memberValueDatatype="20" unbalanced="0"/>
    <cacheHierarchy uniqueName="[HR_Analytics].[AgeGroup]" caption="AgeGroup" attribute="1" defaultMemberUniqueName="[HR_Analytics].[AgeGroup].[All]" allUniqueName="[HR_Analytics].[AgeGroup].[All]" dimensionUniqueName="[HR_Analytics]" displayFolder="" count="0" memberValueDatatype="130" unbalanced="0"/>
    <cacheHierarchy uniqueName="[HR_Analytics].[Attrition]" caption="Attrition" attribute="1" defaultMemberUniqueName="[HR_Analytics].[Attrition].[All]" allUniqueName="[HR_Analytics].[Attrition].[All]" dimensionUniqueName="[HR_Analytics]" displayFolder="" count="0" memberValueDatatype="130" unbalanced="0"/>
    <cacheHierarchy uniqueName="[HR_Analytics].[BusinessTravel]" caption="BusinessTravel" attribute="1" defaultMemberUniqueName="[HR_Analytics].[BusinessTravel].[All]" allUniqueName="[HR_Analytics].[BusinessTravel].[All]" dimensionUniqueName="[HR_Analytics]" displayFolder="" count="0" memberValueDatatype="130" unbalanced="0"/>
    <cacheHierarchy uniqueName="[HR_Analytics].[DailyRate]" caption="DailyRate" attribute="1" defaultMemberUniqueName="[HR_Analytics].[DailyRate].[All]" allUniqueName="[HR_Analytics].[DailyRate].[All]" dimensionUniqueName="[HR_Analytics]" displayFolder="" count="0" memberValueDatatype="20" unbalanced="0"/>
    <cacheHierarchy uniqueName="[HR_Analytics].[Department]" caption="Department" attribute="1" defaultMemberUniqueName="[HR_Analytics].[Department].[All]" allUniqueName="[HR_Analytics].[Department].[All]" dimensionUniqueName="[HR_Analytics]" displayFolder="" count="2" memberValueDatatype="130" unbalanced="0">
      <fieldsUsage count="2">
        <fieldUsage x="-1"/>
        <fieldUsage x="0"/>
      </fieldsUsage>
    </cacheHierarchy>
    <cacheHierarchy uniqueName="[HR_Analytics].[DistanceFromHome]" caption="DistanceFromHome" attribute="1" defaultMemberUniqueName="[HR_Analytics].[DistanceFromHome].[All]" allUniqueName="[HR_Analytics].[DistanceFromHome].[All]" dimensionUniqueName="[HR_Analytics]" displayFolder="" count="0" memberValueDatatype="20" unbalanced="0"/>
    <cacheHierarchy uniqueName="[HR_Analytics].[Education]" caption="Education" attribute="1" defaultMemberUniqueName="[HR_Analytics].[Education].[All]" allUniqueName="[HR_Analytics].[Education].[All]" dimensionUniqueName="[HR_Analytics]" displayFolder="" count="0" memberValueDatatype="20" unbalanced="0"/>
    <cacheHierarchy uniqueName="[HR_Analytics].[EducationField]" caption="EducationField" attribute="1" defaultMemberUniqueName="[HR_Analytics].[EducationField].[All]" allUniqueName="[HR_Analytics].[EducationField].[All]" dimensionUniqueName="[HR_Analytics]" displayFolder="" count="0" memberValueDatatype="130" unbalanced="0"/>
    <cacheHierarchy uniqueName="[HR_Analytics].[EmployeeCount]" caption="EmployeeCount" attribute="1" defaultMemberUniqueName="[HR_Analytics].[EmployeeCount].[All]" allUniqueName="[HR_Analytics].[EmployeeCount].[All]" dimensionUniqueName="[HR_Analytics]" displayFolder="" count="0" memberValueDatatype="20" unbalanced="0"/>
    <cacheHierarchy uniqueName="[HR_Analytics].[EmployeeNumber]" caption="EmployeeNumber" attribute="1" defaultMemberUniqueName="[HR_Analytics].[EmployeeNumber].[All]" allUniqueName="[HR_Analytics].[EmployeeNumber].[All]" dimensionUniqueName="[HR_Analytics]" displayFolder="" count="0" memberValueDatatype="20" unbalanced="0"/>
    <cacheHierarchy uniqueName="[HR_Analytics].[EnvironmentSatisfaction]" caption="EnvironmentSatisfaction" attribute="1" defaultMemberUniqueName="[HR_Analytics].[EnvironmentSatisfaction].[All]" allUniqueName="[HR_Analytics].[EnvironmentSatisfaction].[All]" dimensionUniqueName="[HR_Analytics]" displayFolder="" count="0" memberValueDatatype="20" unbalanced="0"/>
    <cacheHierarchy uniqueName="[HR_Analytics].[Gender]" caption="Gender" attribute="1" defaultMemberUniqueName="[HR_Analytics].[Gender].[All]" allUniqueName="[HR_Analytics].[Gender].[All]" dimensionUniqueName="[HR_Analytics]" displayFolder="" count="0" memberValueDatatype="130" unbalanced="0"/>
    <cacheHierarchy uniqueName="[HR_Analytics].[HourlyRate]" caption="HourlyRate" attribute="1" defaultMemberUniqueName="[HR_Analytics].[HourlyRate].[All]" allUniqueName="[HR_Analytics].[HourlyRate].[All]" dimensionUniqueName="[HR_Analytics]" displayFolder="" count="0" memberValueDatatype="20" unbalanced="0"/>
    <cacheHierarchy uniqueName="[HR_Analytics].[JobInvolvement]" caption="JobInvolvement" attribute="1" defaultMemberUniqueName="[HR_Analytics].[JobInvolvement].[All]" allUniqueName="[HR_Analytics].[JobInvolvement].[All]" dimensionUniqueName="[HR_Analytics]" displayFolder="" count="0" memberValueDatatype="20" unbalanced="0"/>
    <cacheHierarchy uniqueName="[HR_Analytics].[JobLevel]" caption="JobLevel" attribute="1" defaultMemberUniqueName="[HR_Analytics].[JobLevel].[All]" allUniqueName="[HR_Analytics].[JobLevel].[All]" dimensionUniqueName="[HR_Analytics]" displayFolder="" count="0" memberValueDatatype="20" unbalanced="0"/>
    <cacheHierarchy uniqueName="[HR_Analytics].[JobRole]" caption="JobRole" attribute="1" defaultMemberUniqueName="[HR_Analytics].[JobRole].[All]" allUniqueName="[HR_Analytics].[JobRole].[All]" dimensionUniqueName="[HR_Analytics]" displayFolder="" count="0" memberValueDatatype="130" unbalanced="0"/>
    <cacheHierarchy uniqueName="[HR_Analytics].[JobSatisfaction]" caption="JobSatisfaction" attribute="1" defaultMemberUniqueName="[HR_Analytics].[JobSatisfaction].[All]" allUniqueName="[HR_Analytics].[JobSatisfaction].[All]" dimensionUniqueName="[HR_Analytics]" displayFolder="" count="0" memberValueDatatype="20" unbalanced="0"/>
    <cacheHierarchy uniqueName="[HR_Analytics].[MaritalStatus]" caption="MaritalStatus" attribute="1" defaultMemberUniqueName="[HR_Analytics].[MaritalStatus].[All]" allUniqueName="[HR_Analytics].[MaritalStatus].[All]" dimensionUniqueName="[HR_Analytics]" displayFolder="" count="0" memberValueDatatype="130" unbalanced="0"/>
    <cacheHierarchy uniqueName="[HR_Analytics].[MonthlyIncome]" caption="MonthlyIncome" attribute="1" defaultMemberUniqueName="[HR_Analytics].[MonthlyIncome].[All]" allUniqueName="[HR_Analytics].[MonthlyIncome].[All]" dimensionUniqueName="[HR_Analytics]" displayFolder="" count="0" memberValueDatatype="20" unbalanced="0"/>
    <cacheHierarchy uniqueName="[HR_Analytics].[SalarySlab]" caption="SalarySlab" attribute="1" defaultMemberUniqueName="[HR_Analytics].[SalarySlab].[All]" allUniqueName="[HR_Analytics].[SalarySlab].[All]" dimensionUniqueName="[HR_Analytics]" displayFolder="" count="2" memberValueDatatype="130" unbalanced="0"/>
    <cacheHierarchy uniqueName="[HR_Analytics].[MonthlyRate]" caption="MonthlyRate" attribute="1" defaultMemberUniqueName="[HR_Analytics].[MonthlyRate].[All]" allUniqueName="[HR_Analytics].[MonthlyRate].[All]" dimensionUniqueName="[HR_Analytics]" displayFolder="" count="0" memberValueDatatype="20" unbalanced="0"/>
    <cacheHierarchy uniqueName="[HR_Analytics].[NumCompaniesWorked]" caption="NumCompaniesWorked" attribute="1" defaultMemberUniqueName="[HR_Analytics].[NumCompaniesWorked].[All]" allUniqueName="[HR_Analytics].[NumCompaniesWorked].[All]" dimensionUniqueName="[HR_Analytics]" displayFolder="" count="0" memberValueDatatype="20" unbalanced="0"/>
    <cacheHierarchy uniqueName="[HR_Analytics].[Over18]" caption="Over18" attribute="1" defaultMemberUniqueName="[HR_Analytics].[Over18].[All]" allUniqueName="[HR_Analytics].[Over18].[All]" dimensionUniqueName="[HR_Analytics]" displayFolder="" count="0" memberValueDatatype="130" unbalanced="0"/>
    <cacheHierarchy uniqueName="[HR_Analytics].[OverTime]" caption="OverTime" attribute="1" defaultMemberUniqueName="[HR_Analytics].[OverTime].[All]" allUniqueName="[HR_Analytics].[OverTime].[All]" dimensionUniqueName="[HR_Analytics]" displayFolder="" count="0" memberValueDatatype="130" unbalanced="0"/>
    <cacheHierarchy uniqueName="[HR_Analytics].[PercentSalaryHike]" caption="PercentSalaryHike" attribute="1" defaultMemberUniqueName="[HR_Analytics].[PercentSalaryHike].[All]" allUniqueName="[HR_Analytics].[PercentSalaryHike].[All]" dimensionUniqueName="[HR_Analytics]" displayFolder="" count="0" memberValueDatatype="20" unbalanced="0"/>
    <cacheHierarchy uniqueName="[HR_Analytics].[PerformanceRating]" caption="PerformanceRating" attribute="1" defaultMemberUniqueName="[HR_Analytics].[PerformanceRating].[All]" allUniqueName="[HR_Analytics].[PerformanceRating].[All]" dimensionUniqueName="[HR_Analytics]" displayFolder="" count="0" memberValueDatatype="20" unbalanced="0"/>
    <cacheHierarchy uniqueName="[HR_Analytics].[RelationshipSatisfaction]" caption="RelationshipSatisfaction" attribute="1" defaultMemberUniqueName="[HR_Analytics].[RelationshipSatisfaction].[All]" allUniqueName="[HR_Analytics].[RelationshipSatisfaction].[All]" dimensionUniqueName="[HR_Analytics]" displayFolder="" count="0" memberValueDatatype="20" unbalanced="0"/>
    <cacheHierarchy uniqueName="[HR_Analytics].[StandardHours]" caption="StandardHours" attribute="1" defaultMemberUniqueName="[HR_Analytics].[StandardHours].[All]" allUniqueName="[HR_Analytics].[StandardHours].[All]" dimensionUniqueName="[HR_Analytics]" displayFolder="" count="0" memberValueDatatype="20" unbalanced="0"/>
    <cacheHierarchy uniqueName="[HR_Analytics].[StockOptionLevel]" caption="StockOptionLevel" attribute="1" defaultMemberUniqueName="[HR_Analytics].[StockOptionLevel].[All]" allUniqueName="[HR_Analytics].[StockOptionLevel].[All]" dimensionUniqueName="[HR_Analytics]" displayFolder="" count="0" memberValueDatatype="20" unbalanced="0"/>
    <cacheHierarchy uniqueName="[HR_Analytics].[TotalWorkingYears]" caption="TotalWorkingYears" attribute="1" defaultMemberUniqueName="[HR_Analytics].[TotalWorkingYears].[All]" allUniqueName="[HR_Analytics].[TotalWorkingYears].[All]" dimensionUniqueName="[HR_Analytics]" displayFolder="" count="0" memberValueDatatype="20" unbalanced="0"/>
    <cacheHierarchy uniqueName="[HR_Analytics].[TrainingTimesLastYear]" caption="TrainingTimesLastYear" attribute="1" defaultMemberUniqueName="[HR_Analytics].[TrainingTimesLastYear].[All]" allUniqueName="[HR_Analytics].[TrainingTimesLastYear].[All]" dimensionUniqueName="[HR_Analytics]" displayFolder="" count="0" memberValueDatatype="20" unbalanced="0"/>
    <cacheHierarchy uniqueName="[HR_Analytics].[WorkLifeBalance]" caption="WorkLifeBalance" attribute="1" defaultMemberUniqueName="[HR_Analytics].[WorkLifeBalance].[All]" allUniqueName="[HR_Analytics].[WorkLifeBalance].[All]" dimensionUniqueName="[HR_Analytics]" displayFolder="" count="0" memberValueDatatype="20" unbalanced="0"/>
    <cacheHierarchy uniqueName="[HR_Analytics].[YearsAtCompany]" caption="YearsAtCompany" attribute="1" defaultMemberUniqueName="[HR_Analytics].[YearsAtCompany].[All]" allUniqueName="[HR_Analytics].[YearsAtCompany].[All]" dimensionUniqueName="[HR_Analytics]" displayFolder="" count="0" memberValueDatatype="20" unbalanced="0"/>
    <cacheHierarchy uniqueName="[HR_Analytics].[YearsInCurrentRole]" caption="YearsInCurrentRole" attribute="1" defaultMemberUniqueName="[HR_Analytics].[YearsInCurrentRole].[All]" allUniqueName="[HR_Analytics].[YearsInCurrentRole].[All]" dimensionUniqueName="[HR_Analytics]" displayFolder="" count="0" memberValueDatatype="20" unbalanced="0"/>
    <cacheHierarchy uniqueName="[HR_Analytics].[YearsSinceLastPromotion]" caption="YearsSinceLastPromotion" attribute="1" defaultMemberUniqueName="[HR_Analytics].[YearsSinceLastPromotion].[All]" allUniqueName="[HR_Analytics].[YearsSinceLastPromotion].[All]" dimensionUniqueName="[HR_Analytics]" displayFolder="" count="0" memberValueDatatype="20" unbalanced="0"/>
    <cacheHierarchy uniqueName="[HR_Analytics].[YearsWithCurrManager]" caption="YearsWithCurrManager" attribute="1" defaultMemberUniqueName="[HR_Analytics].[YearsWithCurrManager].[All]" allUniqueName="[HR_Analytics].[YearsWithCurrManager].[All]" dimensionUniqueName="[HR_Analytics]" displayFolder="" count="0" memberValueDatatype="5" unbalanced="0"/>
    <cacheHierarchy uniqueName="[Table1].[Column]" caption="Column" attribute="1" defaultMemberUniqueName="[Table1].[Column].[All]" allUniqueName="[Table1].[Column].[All]" dimensionUniqueName="[Table1]" displayFolder="" count="0" memberValueDatatype="130" unbalanced="0"/>
    <cacheHierarchy uniqueName="[Table1].[المعنى بالعربي]" caption="المعنى بالعربي" attribute="1" defaultMemberUniqueName="[Table1].[المعنى بالعربي].[All]" allUniqueName="[Table1].[المعنى بالعربي].[All]" dimensionUniqueName="[Table1]" displayFolder="" count="0" memberValueDatatype="130" unbalanced="0"/>
    <cacheHierarchy uniqueName="[Measures].[Total Employess]" caption="Total Employess" measure="1" displayFolder="" measureGroup="HR_Analytics" count="0"/>
    <cacheHierarchy uniqueName="[Measures].[Attrition Rate]" caption="Attrition Rate" measure="1" displayFolder="" measureGroup="HR_Analytics" count="0"/>
    <cacheHierarchy uniqueName="[Measures].[Overtime Rate]" caption="Overtime Rate" measure="1" displayFolder="" measureGroup="HR_Analytics" count="0"/>
    <cacheHierarchy uniqueName="[Measures].[Stasfaction Score]" caption="Stasfaction Score" measure="1" displayFolder="" measureGroup="HR_Analytics" count="0"/>
    <cacheHierarchy uniqueName="[Measures].[Monthly Income]" caption="Monthly Income" measure="1" displayFolder="" measureGroup="HR_Analytics" count="0"/>
    <cacheHierarchy uniqueName="[Measures].[Avg Age]" caption="Avg Age" measure="1" displayFolder="" measureGroup="HR_Analytics" count="0"/>
    <cacheHierarchy uniqueName="[Measures].[Avg Tenure]" caption="Avg Tenure" measure="1" displayFolder="" measureGroup="HR_Analytics" count="0"/>
    <cacheHierarchy uniqueName="[Measures].[Avg Env Sat]" caption="Avg Env Sat" measure="1" displayFolder="" measureGroup="HR_Analytics" count="0"/>
    <cacheHierarchy uniqueName="[Measures].[Avg WLB]" caption="Avg WLB" measure="1" displayFolder="" measureGroup="HR_Analytics" count="0"/>
    <cacheHierarchy uniqueName="[Measures].[__XL_Count Table1]" caption="__XL_Count Table1" measure="1" displayFolder="" measureGroup="Table1" count="0" hidden="1"/>
    <cacheHierarchy uniqueName="[Measures].[__XL_Count HR_Analytics]" caption="__XL_Count HR_Analytics" measure="1" displayFolder="" measureGroup="HR_Analytics" count="0" hidden="1"/>
    <cacheHierarchy uniqueName="[Measures].[__No measures defined]" caption="__No measures defined" measure="1" displayFolder="" count="0" hidden="1"/>
    <cacheHierarchy uniqueName="[Measures].[Sum of Age]" caption="Sum of Age" measure="1" displayFolder="" measureGroup="HR_Analytics" count="0" hidden="1">
      <extLst>
        <ext xmlns:x15="http://schemas.microsoft.com/office/spreadsheetml/2010/11/main" uri="{B97F6D7D-B522-45F9-BDA1-12C45D357490}">
          <x15:cacheHierarchy aggregatedColumn="1"/>
        </ext>
      </extLst>
    </cacheHierarchy>
    <cacheHierarchy uniqueName="[Measures].[Count of Attrition]" caption="Count of Attrition" measure="1" displayFolder="" measureGroup="HR_Analytics" count="0" hidden="1">
      <extLst>
        <ext xmlns:x15="http://schemas.microsoft.com/office/spreadsheetml/2010/11/main" uri="{B97F6D7D-B522-45F9-BDA1-12C45D357490}">
          <x15:cacheHierarchy aggregatedColumn="3"/>
        </ext>
      </extLst>
    </cacheHierarchy>
    <cacheHierarchy uniqueName="[Measures].[Count of OverTime]" caption="Count of OverTime" measure="1" displayFolder="" measureGroup="HR_Analytics" count="0" oneField="1" hidden="1">
      <fieldsUsage count="1">
        <fieldUsage x="1"/>
      </fieldsUsage>
      <extLst>
        <ext xmlns:x15="http://schemas.microsoft.com/office/spreadsheetml/2010/11/main" uri="{B97F6D7D-B522-45F9-BDA1-12C45D357490}">
          <x15:cacheHierarchy aggregatedColumn="25"/>
        </ext>
      </extLst>
    </cacheHierarchy>
    <cacheHierarchy uniqueName="[Measures].[Count of Department]" caption="Count of Department" measure="1" displayFolder="" measureGroup="HR_Analytics" count="0" hidden="1">
      <extLst>
        <ext xmlns:x15="http://schemas.microsoft.com/office/spreadsheetml/2010/11/main" uri="{B97F6D7D-B522-45F9-BDA1-12C45D357490}">
          <x15:cacheHierarchy aggregatedColumn="6"/>
        </ext>
      </extLst>
    </cacheHierarchy>
  </cacheHierarchies>
  <kpis count="0"/>
  <dimensions count="3">
    <dimension name="HR_Analytics" uniqueName="[HR_Analytics]" caption="HR_Analytics"/>
    <dimension measure="1" name="Measures" uniqueName="[Measures]" caption="Measures"/>
    <dimension name="Table1" uniqueName="[Table1]" caption="Table1"/>
  </dimensions>
  <measureGroups count="2">
    <measureGroup name="HR_Analytics" caption="HR_Analytics"/>
    <measureGroup name="Table1" caption="Table1"/>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323.833606250002" backgroundQuery="1" createdVersion="8" refreshedVersion="8" minRefreshableVersion="3" recordCount="0" supportSubquery="1" supportAdvancedDrill="1" xr:uid="{25ABFAFE-3C74-4458-B30D-809461FD4CBA}">
  <cacheSource type="external" connectionId="2"/>
  <cacheFields count="3">
    <cacheField name="[HR_Analytics].[SalarySlab].[SalarySlab]" caption="SalarySlab" numFmtId="0" hierarchy="21" level="1">
      <sharedItems count="4">
        <s v="10k-15k"/>
        <s v="15k+"/>
        <s v="5k-10k"/>
        <s v="Upto 5k"/>
      </sharedItems>
    </cacheField>
    <cacheField name="[Measures].[Sum of MonthlyIncome]" caption="Sum of MonthlyIncome" numFmtId="0" hierarchy="56" level="32767"/>
    <cacheField name="[HR_Analytics].[Department].[Department]" caption="Department" numFmtId="0" hierarchy="6" level="1">
      <sharedItems count="3">
        <s v="Human Resources"/>
        <s v="Research &amp; Development"/>
        <s v="Sales"/>
      </sharedItems>
    </cacheField>
  </cacheFields>
  <cacheHierarchies count="57">
    <cacheHierarchy uniqueName="[HR_Analytics].[EmpID]" caption="EmpID" attribute="1" defaultMemberUniqueName="[HR_Analytics].[EmpID].[All]" allUniqueName="[HR_Analytics].[EmpID].[All]" dimensionUniqueName="[HR_Analytics]" displayFolder="" count="0" memberValueDatatype="130" unbalanced="0"/>
    <cacheHierarchy uniqueName="[HR_Analytics].[Age]" caption="Age" attribute="1" defaultMemberUniqueName="[HR_Analytics].[Age].[All]" allUniqueName="[HR_Analytics].[Age].[All]" dimensionUniqueName="[HR_Analytics]" displayFolder="" count="0" memberValueDatatype="20" unbalanced="0"/>
    <cacheHierarchy uniqueName="[HR_Analytics].[AgeGroup]" caption="AgeGroup" attribute="1" defaultMemberUniqueName="[HR_Analytics].[AgeGroup].[All]" allUniqueName="[HR_Analytics].[AgeGroup].[All]" dimensionUniqueName="[HR_Analytics]" displayFolder="" count="0" memberValueDatatype="130" unbalanced="0"/>
    <cacheHierarchy uniqueName="[HR_Analytics].[Attrition]" caption="Attrition" attribute="1" defaultMemberUniqueName="[HR_Analytics].[Attrition].[All]" allUniqueName="[HR_Analytics].[Attrition].[All]" dimensionUniqueName="[HR_Analytics]" displayFolder="" count="0" memberValueDatatype="130" unbalanced="0"/>
    <cacheHierarchy uniqueName="[HR_Analytics].[BusinessTravel]" caption="BusinessTravel" attribute="1" defaultMemberUniqueName="[HR_Analytics].[BusinessTravel].[All]" allUniqueName="[HR_Analytics].[BusinessTravel].[All]" dimensionUniqueName="[HR_Analytics]" displayFolder="" count="0" memberValueDatatype="130" unbalanced="0"/>
    <cacheHierarchy uniqueName="[HR_Analytics].[DailyRate]" caption="DailyRate" attribute="1" defaultMemberUniqueName="[HR_Analytics].[DailyRate].[All]" allUniqueName="[HR_Analytics].[DailyRate].[All]" dimensionUniqueName="[HR_Analytics]" displayFolder="" count="0" memberValueDatatype="20" unbalanced="0"/>
    <cacheHierarchy uniqueName="[HR_Analytics].[Department]" caption="Department" attribute="1" defaultMemberUniqueName="[HR_Analytics].[Department].[All]" allUniqueName="[HR_Analytics].[Department].[All]" dimensionUniqueName="[HR_Analytics]" displayFolder="" count="2" memberValueDatatype="130" unbalanced="0">
      <fieldsUsage count="2">
        <fieldUsage x="-1"/>
        <fieldUsage x="2"/>
      </fieldsUsage>
    </cacheHierarchy>
    <cacheHierarchy uniqueName="[HR_Analytics].[DistanceFromHome]" caption="DistanceFromHome" attribute="1" defaultMemberUniqueName="[HR_Analytics].[DistanceFromHome].[All]" allUniqueName="[HR_Analytics].[DistanceFromHome].[All]" dimensionUniqueName="[HR_Analytics]" displayFolder="" count="0" memberValueDatatype="20" unbalanced="0"/>
    <cacheHierarchy uniqueName="[HR_Analytics].[Education]" caption="Education" attribute="1" defaultMemberUniqueName="[HR_Analytics].[Education].[All]" allUniqueName="[HR_Analytics].[Education].[All]" dimensionUniqueName="[HR_Analytics]" displayFolder="" count="0" memberValueDatatype="20" unbalanced="0"/>
    <cacheHierarchy uniqueName="[HR_Analytics].[EducationField]" caption="EducationField" attribute="1" defaultMemberUniqueName="[HR_Analytics].[EducationField].[All]" allUniqueName="[HR_Analytics].[EducationField].[All]" dimensionUniqueName="[HR_Analytics]" displayFolder="" count="0" memberValueDatatype="130" unbalanced="0"/>
    <cacheHierarchy uniqueName="[HR_Analytics].[EmployeeCount]" caption="EmployeeCount" attribute="1" defaultMemberUniqueName="[HR_Analytics].[EmployeeCount].[All]" allUniqueName="[HR_Analytics].[EmployeeCount].[All]" dimensionUniqueName="[HR_Analytics]" displayFolder="" count="0" memberValueDatatype="20" unbalanced="0"/>
    <cacheHierarchy uniqueName="[HR_Analytics].[EmployeeNumber]" caption="EmployeeNumber" attribute="1" defaultMemberUniqueName="[HR_Analytics].[EmployeeNumber].[All]" allUniqueName="[HR_Analytics].[EmployeeNumber].[All]" dimensionUniqueName="[HR_Analytics]" displayFolder="" count="0" memberValueDatatype="20" unbalanced="0"/>
    <cacheHierarchy uniqueName="[HR_Analytics].[EnvironmentSatisfaction]" caption="EnvironmentSatisfaction" attribute="1" defaultMemberUniqueName="[HR_Analytics].[EnvironmentSatisfaction].[All]" allUniqueName="[HR_Analytics].[EnvironmentSatisfaction].[All]" dimensionUniqueName="[HR_Analytics]" displayFolder="" count="0" memberValueDatatype="20" unbalanced="0"/>
    <cacheHierarchy uniqueName="[HR_Analytics].[Gender]" caption="Gender" attribute="1" defaultMemberUniqueName="[HR_Analytics].[Gender].[All]" allUniqueName="[HR_Analytics].[Gender].[All]" dimensionUniqueName="[HR_Analytics]" displayFolder="" count="0" memberValueDatatype="130" unbalanced="0"/>
    <cacheHierarchy uniqueName="[HR_Analytics].[HourlyRate]" caption="HourlyRate" attribute="1" defaultMemberUniqueName="[HR_Analytics].[HourlyRate].[All]" allUniqueName="[HR_Analytics].[HourlyRate].[All]" dimensionUniqueName="[HR_Analytics]" displayFolder="" count="0" memberValueDatatype="20" unbalanced="0"/>
    <cacheHierarchy uniqueName="[HR_Analytics].[JobInvolvement]" caption="JobInvolvement" attribute="1" defaultMemberUniqueName="[HR_Analytics].[JobInvolvement].[All]" allUniqueName="[HR_Analytics].[JobInvolvement].[All]" dimensionUniqueName="[HR_Analytics]" displayFolder="" count="0" memberValueDatatype="20" unbalanced="0"/>
    <cacheHierarchy uniqueName="[HR_Analytics].[JobLevel]" caption="JobLevel" attribute="1" defaultMemberUniqueName="[HR_Analytics].[JobLevel].[All]" allUniqueName="[HR_Analytics].[JobLevel].[All]" dimensionUniqueName="[HR_Analytics]" displayFolder="" count="0" memberValueDatatype="20" unbalanced="0"/>
    <cacheHierarchy uniqueName="[HR_Analytics].[JobRole]" caption="JobRole" attribute="1" defaultMemberUniqueName="[HR_Analytics].[JobRole].[All]" allUniqueName="[HR_Analytics].[JobRole].[All]" dimensionUniqueName="[HR_Analytics]" displayFolder="" count="0" memberValueDatatype="130" unbalanced="0"/>
    <cacheHierarchy uniqueName="[HR_Analytics].[JobSatisfaction]" caption="JobSatisfaction" attribute="1" defaultMemberUniqueName="[HR_Analytics].[JobSatisfaction].[All]" allUniqueName="[HR_Analytics].[JobSatisfaction].[All]" dimensionUniqueName="[HR_Analytics]" displayFolder="" count="0" memberValueDatatype="20" unbalanced="0"/>
    <cacheHierarchy uniqueName="[HR_Analytics].[MaritalStatus]" caption="MaritalStatus" attribute="1" defaultMemberUniqueName="[HR_Analytics].[MaritalStatus].[All]" allUniqueName="[HR_Analytics].[MaritalStatus].[All]" dimensionUniqueName="[HR_Analytics]" displayFolder="" count="0" memberValueDatatype="130" unbalanced="0"/>
    <cacheHierarchy uniqueName="[HR_Analytics].[MonthlyIncome]" caption="MonthlyIncome" attribute="1" defaultMemberUniqueName="[HR_Analytics].[MonthlyIncome].[All]" allUniqueName="[HR_Analytics].[MonthlyIncome].[All]" dimensionUniqueName="[HR_Analytics]" displayFolder="" count="0" memberValueDatatype="20" unbalanced="0"/>
    <cacheHierarchy uniqueName="[HR_Analytics].[SalarySlab]" caption="SalarySlab" attribute="1" defaultMemberUniqueName="[HR_Analytics].[SalarySlab].[All]" allUniqueName="[HR_Analytics].[SalarySlab].[All]" dimensionUniqueName="[HR_Analytics]" displayFolder="" count="2" memberValueDatatype="130" unbalanced="0">
      <fieldsUsage count="2">
        <fieldUsage x="-1"/>
        <fieldUsage x="0"/>
      </fieldsUsage>
    </cacheHierarchy>
    <cacheHierarchy uniqueName="[HR_Analytics].[MonthlyRate]" caption="MonthlyRate" attribute="1" defaultMemberUniqueName="[HR_Analytics].[MonthlyRate].[All]" allUniqueName="[HR_Analytics].[MonthlyRate].[All]" dimensionUniqueName="[HR_Analytics]" displayFolder="" count="0" memberValueDatatype="20" unbalanced="0"/>
    <cacheHierarchy uniqueName="[HR_Analytics].[NumCompaniesWorked]" caption="NumCompaniesWorked" attribute="1" defaultMemberUniqueName="[HR_Analytics].[NumCompaniesWorked].[All]" allUniqueName="[HR_Analytics].[NumCompaniesWorked].[All]" dimensionUniqueName="[HR_Analytics]" displayFolder="" count="0" memberValueDatatype="20" unbalanced="0"/>
    <cacheHierarchy uniqueName="[HR_Analytics].[Over18]" caption="Over18" attribute="1" defaultMemberUniqueName="[HR_Analytics].[Over18].[All]" allUniqueName="[HR_Analytics].[Over18].[All]" dimensionUniqueName="[HR_Analytics]" displayFolder="" count="0" memberValueDatatype="130" unbalanced="0"/>
    <cacheHierarchy uniqueName="[HR_Analytics].[OverTime]" caption="OverTime" attribute="1" defaultMemberUniqueName="[HR_Analytics].[OverTime].[All]" allUniqueName="[HR_Analytics].[OverTime].[All]" dimensionUniqueName="[HR_Analytics]" displayFolder="" count="0" memberValueDatatype="130" unbalanced="0"/>
    <cacheHierarchy uniqueName="[HR_Analytics].[PercentSalaryHike]" caption="PercentSalaryHike" attribute="1" defaultMemberUniqueName="[HR_Analytics].[PercentSalaryHike].[All]" allUniqueName="[HR_Analytics].[PercentSalaryHike].[All]" dimensionUniqueName="[HR_Analytics]" displayFolder="" count="0" memberValueDatatype="20" unbalanced="0"/>
    <cacheHierarchy uniqueName="[HR_Analytics].[PerformanceRating]" caption="PerformanceRating" attribute="1" defaultMemberUniqueName="[HR_Analytics].[PerformanceRating].[All]" allUniqueName="[HR_Analytics].[PerformanceRating].[All]" dimensionUniqueName="[HR_Analytics]" displayFolder="" count="0" memberValueDatatype="20" unbalanced="0"/>
    <cacheHierarchy uniqueName="[HR_Analytics].[RelationshipSatisfaction]" caption="RelationshipSatisfaction" attribute="1" defaultMemberUniqueName="[HR_Analytics].[RelationshipSatisfaction].[All]" allUniqueName="[HR_Analytics].[RelationshipSatisfaction].[All]" dimensionUniqueName="[HR_Analytics]" displayFolder="" count="0" memberValueDatatype="20" unbalanced="0"/>
    <cacheHierarchy uniqueName="[HR_Analytics].[StandardHours]" caption="StandardHours" attribute="1" defaultMemberUniqueName="[HR_Analytics].[StandardHours].[All]" allUniqueName="[HR_Analytics].[StandardHours].[All]" dimensionUniqueName="[HR_Analytics]" displayFolder="" count="0" memberValueDatatype="20" unbalanced="0"/>
    <cacheHierarchy uniqueName="[HR_Analytics].[StockOptionLevel]" caption="StockOptionLevel" attribute="1" defaultMemberUniqueName="[HR_Analytics].[StockOptionLevel].[All]" allUniqueName="[HR_Analytics].[StockOptionLevel].[All]" dimensionUniqueName="[HR_Analytics]" displayFolder="" count="0" memberValueDatatype="20" unbalanced="0"/>
    <cacheHierarchy uniqueName="[HR_Analytics].[TotalWorkingYears]" caption="TotalWorkingYears" attribute="1" defaultMemberUniqueName="[HR_Analytics].[TotalWorkingYears].[All]" allUniqueName="[HR_Analytics].[TotalWorkingYears].[All]" dimensionUniqueName="[HR_Analytics]" displayFolder="" count="0" memberValueDatatype="20" unbalanced="0"/>
    <cacheHierarchy uniqueName="[HR_Analytics].[TrainingTimesLastYear]" caption="TrainingTimesLastYear" attribute="1" defaultMemberUniqueName="[HR_Analytics].[TrainingTimesLastYear].[All]" allUniqueName="[HR_Analytics].[TrainingTimesLastYear].[All]" dimensionUniqueName="[HR_Analytics]" displayFolder="" count="0" memberValueDatatype="20" unbalanced="0"/>
    <cacheHierarchy uniqueName="[HR_Analytics].[WorkLifeBalance]" caption="WorkLifeBalance" attribute="1" defaultMemberUniqueName="[HR_Analytics].[WorkLifeBalance].[All]" allUniqueName="[HR_Analytics].[WorkLifeBalance].[All]" dimensionUniqueName="[HR_Analytics]" displayFolder="" count="0" memberValueDatatype="20" unbalanced="0"/>
    <cacheHierarchy uniqueName="[HR_Analytics].[YearsAtCompany]" caption="YearsAtCompany" attribute="1" defaultMemberUniqueName="[HR_Analytics].[YearsAtCompany].[All]" allUniqueName="[HR_Analytics].[YearsAtCompany].[All]" dimensionUniqueName="[HR_Analytics]" displayFolder="" count="0" memberValueDatatype="20" unbalanced="0"/>
    <cacheHierarchy uniqueName="[HR_Analytics].[YearsInCurrentRole]" caption="YearsInCurrentRole" attribute="1" defaultMemberUniqueName="[HR_Analytics].[YearsInCurrentRole].[All]" allUniqueName="[HR_Analytics].[YearsInCurrentRole].[All]" dimensionUniqueName="[HR_Analytics]" displayFolder="" count="0" memberValueDatatype="20" unbalanced="0"/>
    <cacheHierarchy uniqueName="[HR_Analytics].[YearsSinceLastPromotion]" caption="YearsSinceLastPromotion" attribute="1" defaultMemberUniqueName="[HR_Analytics].[YearsSinceLastPromotion].[All]" allUniqueName="[HR_Analytics].[YearsSinceLastPromotion].[All]" dimensionUniqueName="[HR_Analytics]" displayFolder="" count="0" memberValueDatatype="20" unbalanced="0"/>
    <cacheHierarchy uniqueName="[HR_Analytics].[YearsWithCurrManager]" caption="YearsWithCurrManager" attribute="1" defaultMemberUniqueName="[HR_Analytics].[YearsWithCurrManager].[All]" allUniqueName="[HR_Analytics].[YearsWithCurrManager].[All]" dimensionUniqueName="[HR_Analytics]" displayFolder="" count="0" memberValueDatatype="5" unbalanced="0"/>
    <cacheHierarchy uniqueName="[Table1].[Column]" caption="Column" attribute="1" defaultMemberUniqueName="[Table1].[Column].[All]" allUniqueName="[Table1].[Column].[All]" dimensionUniqueName="[Table1]" displayFolder="" count="0" memberValueDatatype="130" unbalanced="0"/>
    <cacheHierarchy uniqueName="[Table1].[المعنى بالعربي]" caption="المعنى بالعربي" attribute="1" defaultMemberUniqueName="[Table1].[المعنى بالعربي].[All]" allUniqueName="[Table1].[المعنى بالعربي].[All]" dimensionUniqueName="[Table1]" displayFolder="" count="0" memberValueDatatype="130" unbalanced="0"/>
    <cacheHierarchy uniqueName="[Measures].[Total Employess]" caption="Total Employess" measure="1" displayFolder="" measureGroup="HR_Analytics" count="0"/>
    <cacheHierarchy uniqueName="[Measures].[Attrition Rate]" caption="Attrition Rate" measure="1" displayFolder="" measureGroup="HR_Analytics" count="0"/>
    <cacheHierarchy uniqueName="[Measures].[Overtime Rate]" caption="Overtime Rate" measure="1" displayFolder="" measureGroup="HR_Analytics" count="0"/>
    <cacheHierarchy uniqueName="[Measures].[Stasfaction Score]" caption="Stasfaction Score" measure="1" displayFolder="" measureGroup="HR_Analytics" count="0"/>
    <cacheHierarchy uniqueName="[Measures].[Monthly Income]" caption="Monthly Income" measure="1" displayFolder="" measureGroup="HR_Analytics" count="0"/>
    <cacheHierarchy uniqueName="[Measures].[Avg Age]" caption="Avg Age" measure="1" displayFolder="" measureGroup="HR_Analytics" count="0"/>
    <cacheHierarchy uniqueName="[Measures].[Avg Tenure]" caption="Avg Tenure" measure="1" displayFolder="" measureGroup="HR_Analytics" count="0"/>
    <cacheHierarchy uniqueName="[Measures].[Avg Env Sat]" caption="Avg Env Sat" measure="1" displayFolder="" measureGroup="HR_Analytics" count="0"/>
    <cacheHierarchy uniqueName="[Measures].[Avg WLB]" caption="Avg WLB" measure="1" displayFolder="" measureGroup="HR_Analytics" count="0"/>
    <cacheHierarchy uniqueName="[Measures].[__XL_Count Table1]" caption="__XL_Count Table1" measure="1" displayFolder="" measureGroup="Table1" count="0" hidden="1"/>
    <cacheHierarchy uniqueName="[Measures].[__XL_Count HR_Analytics]" caption="__XL_Count HR_Analytics" measure="1" displayFolder="" measureGroup="HR_Analytics" count="0" hidden="1"/>
    <cacheHierarchy uniqueName="[Measures].[__No measures defined]" caption="__No measures defined" measure="1" displayFolder="" count="0" hidden="1"/>
    <cacheHierarchy uniqueName="[Measures].[Sum of Age]" caption="Sum of Age" measure="1" displayFolder="" measureGroup="HR_Analytics" count="0" hidden="1">
      <extLst>
        <ext xmlns:x15="http://schemas.microsoft.com/office/spreadsheetml/2010/11/main" uri="{B97F6D7D-B522-45F9-BDA1-12C45D357490}">
          <x15:cacheHierarchy aggregatedColumn="1"/>
        </ext>
      </extLst>
    </cacheHierarchy>
    <cacheHierarchy uniqueName="[Measures].[Count of Attrition]" caption="Count of Attrition" measure="1" displayFolder="" measureGroup="HR_Analytics" count="0" hidden="1">
      <extLst>
        <ext xmlns:x15="http://schemas.microsoft.com/office/spreadsheetml/2010/11/main" uri="{B97F6D7D-B522-45F9-BDA1-12C45D357490}">
          <x15:cacheHierarchy aggregatedColumn="3"/>
        </ext>
      </extLst>
    </cacheHierarchy>
    <cacheHierarchy uniqueName="[Measures].[Count of OverTime]" caption="Count of OverTime" measure="1" displayFolder="" measureGroup="HR_Analytics" count="0" hidden="1">
      <extLst>
        <ext xmlns:x15="http://schemas.microsoft.com/office/spreadsheetml/2010/11/main" uri="{B97F6D7D-B522-45F9-BDA1-12C45D357490}">
          <x15:cacheHierarchy aggregatedColumn="25"/>
        </ext>
      </extLst>
    </cacheHierarchy>
    <cacheHierarchy uniqueName="[Measures].[Count of Department]" caption="Count of Department" measure="1" displayFolder="" measureGroup="HR_Analytics" count="0" hidden="1">
      <extLst>
        <ext xmlns:x15="http://schemas.microsoft.com/office/spreadsheetml/2010/11/main" uri="{B97F6D7D-B522-45F9-BDA1-12C45D357490}">
          <x15:cacheHierarchy aggregatedColumn="6"/>
        </ext>
      </extLst>
    </cacheHierarchy>
    <cacheHierarchy uniqueName="[Measures].[Sum of MonthlyIncome]" caption="Sum of MonthlyIncome" measure="1" displayFolder="" measureGroup="HR_Analytics" count="0" oneField="1" hidden="1">
      <fieldsUsage count="1">
        <fieldUsage x="1"/>
      </fieldsUsage>
      <extLst>
        <ext xmlns:x15="http://schemas.microsoft.com/office/spreadsheetml/2010/11/main" uri="{B97F6D7D-B522-45F9-BDA1-12C45D357490}">
          <x15:cacheHierarchy aggregatedColumn="20"/>
        </ext>
      </extLst>
    </cacheHierarchy>
  </cacheHierarchies>
  <kpis count="0"/>
  <dimensions count="3">
    <dimension name="HR_Analytics" uniqueName="[HR_Analytics]" caption="HR_Analytics"/>
    <dimension measure="1" name="Measures" uniqueName="[Measures]" caption="Measures"/>
    <dimension name="Table1" uniqueName="[Table1]" caption="Table1"/>
  </dimensions>
  <measureGroups count="2">
    <measureGroup name="HR_Analytics" caption="HR_Analytics"/>
    <measureGroup name="Table1" caption="Table1"/>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323.833606828703" backgroundQuery="1" createdVersion="8" refreshedVersion="8" minRefreshableVersion="3" recordCount="0" supportSubquery="1" supportAdvancedDrill="1" xr:uid="{3FF060D6-40EF-46CB-9AB0-745D6ABE7BA3}">
  <cacheSource type="external" connectionId="2"/>
  <cacheFields count="3">
    <cacheField name="[HR_Analytics].[Department].[Department]" caption="Department" numFmtId="0" hierarchy="6" level="1">
      <sharedItems count="3">
        <s v="Human Resources"/>
        <s v="Research &amp; Development"/>
        <s v="Sales"/>
      </sharedItems>
    </cacheField>
    <cacheField name="[Measures].[Avg Env Sat]" caption="Avg Env Sat" numFmtId="0" hierarchy="47" level="32767"/>
    <cacheField name="[Measures].[Avg WLB]" caption="Avg WLB" numFmtId="0" hierarchy="48" level="32767"/>
  </cacheFields>
  <cacheHierarchies count="56">
    <cacheHierarchy uniqueName="[HR_Analytics].[EmpID]" caption="EmpID" attribute="1" defaultMemberUniqueName="[HR_Analytics].[EmpID].[All]" allUniqueName="[HR_Analytics].[EmpID].[All]" dimensionUniqueName="[HR_Analytics]" displayFolder="" count="0" memberValueDatatype="130" unbalanced="0"/>
    <cacheHierarchy uniqueName="[HR_Analytics].[Age]" caption="Age" attribute="1" defaultMemberUniqueName="[HR_Analytics].[Age].[All]" allUniqueName="[HR_Analytics].[Age].[All]" dimensionUniqueName="[HR_Analytics]" displayFolder="" count="0" memberValueDatatype="20" unbalanced="0"/>
    <cacheHierarchy uniqueName="[HR_Analytics].[AgeGroup]" caption="AgeGroup" attribute="1" defaultMemberUniqueName="[HR_Analytics].[AgeGroup].[All]" allUniqueName="[HR_Analytics].[AgeGroup].[All]" dimensionUniqueName="[HR_Analytics]" displayFolder="" count="0" memberValueDatatype="130" unbalanced="0"/>
    <cacheHierarchy uniqueName="[HR_Analytics].[Attrition]" caption="Attrition" attribute="1" defaultMemberUniqueName="[HR_Analytics].[Attrition].[All]" allUniqueName="[HR_Analytics].[Attrition].[All]" dimensionUniqueName="[HR_Analytics]" displayFolder="" count="0" memberValueDatatype="130" unbalanced="0"/>
    <cacheHierarchy uniqueName="[HR_Analytics].[BusinessTravel]" caption="BusinessTravel" attribute="1" defaultMemberUniqueName="[HR_Analytics].[BusinessTravel].[All]" allUniqueName="[HR_Analytics].[BusinessTravel].[All]" dimensionUniqueName="[HR_Analytics]" displayFolder="" count="0" memberValueDatatype="130" unbalanced="0"/>
    <cacheHierarchy uniqueName="[HR_Analytics].[DailyRate]" caption="DailyRate" attribute="1" defaultMemberUniqueName="[HR_Analytics].[DailyRate].[All]" allUniqueName="[HR_Analytics].[DailyRate].[All]" dimensionUniqueName="[HR_Analytics]" displayFolder="" count="0" memberValueDatatype="20" unbalanced="0"/>
    <cacheHierarchy uniqueName="[HR_Analytics].[Department]" caption="Department" attribute="1" defaultMemberUniqueName="[HR_Analytics].[Department].[All]" allUniqueName="[HR_Analytics].[Department].[All]" dimensionUniqueName="[HR_Analytics]" displayFolder="" count="2" memberValueDatatype="130" unbalanced="0">
      <fieldsUsage count="2">
        <fieldUsage x="-1"/>
        <fieldUsage x="0"/>
      </fieldsUsage>
    </cacheHierarchy>
    <cacheHierarchy uniqueName="[HR_Analytics].[DistanceFromHome]" caption="DistanceFromHome" attribute="1" defaultMemberUniqueName="[HR_Analytics].[DistanceFromHome].[All]" allUniqueName="[HR_Analytics].[DistanceFromHome].[All]" dimensionUniqueName="[HR_Analytics]" displayFolder="" count="0" memberValueDatatype="20" unbalanced="0"/>
    <cacheHierarchy uniqueName="[HR_Analytics].[Education]" caption="Education" attribute="1" defaultMemberUniqueName="[HR_Analytics].[Education].[All]" allUniqueName="[HR_Analytics].[Education].[All]" dimensionUniqueName="[HR_Analytics]" displayFolder="" count="0" memberValueDatatype="20" unbalanced="0"/>
    <cacheHierarchy uniqueName="[HR_Analytics].[EducationField]" caption="EducationField" attribute="1" defaultMemberUniqueName="[HR_Analytics].[EducationField].[All]" allUniqueName="[HR_Analytics].[EducationField].[All]" dimensionUniqueName="[HR_Analytics]" displayFolder="" count="0" memberValueDatatype="130" unbalanced="0"/>
    <cacheHierarchy uniqueName="[HR_Analytics].[EmployeeCount]" caption="EmployeeCount" attribute="1" defaultMemberUniqueName="[HR_Analytics].[EmployeeCount].[All]" allUniqueName="[HR_Analytics].[EmployeeCount].[All]" dimensionUniqueName="[HR_Analytics]" displayFolder="" count="0" memberValueDatatype="20" unbalanced="0"/>
    <cacheHierarchy uniqueName="[HR_Analytics].[EmployeeNumber]" caption="EmployeeNumber" attribute="1" defaultMemberUniqueName="[HR_Analytics].[EmployeeNumber].[All]" allUniqueName="[HR_Analytics].[EmployeeNumber].[All]" dimensionUniqueName="[HR_Analytics]" displayFolder="" count="0" memberValueDatatype="20" unbalanced="0"/>
    <cacheHierarchy uniqueName="[HR_Analytics].[EnvironmentSatisfaction]" caption="EnvironmentSatisfaction" attribute="1" defaultMemberUniqueName="[HR_Analytics].[EnvironmentSatisfaction].[All]" allUniqueName="[HR_Analytics].[EnvironmentSatisfaction].[All]" dimensionUniqueName="[HR_Analytics]" displayFolder="" count="0" memberValueDatatype="20" unbalanced="0"/>
    <cacheHierarchy uniqueName="[HR_Analytics].[Gender]" caption="Gender" attribute="1" defaultMemberUniqueName="[HR_Analytics].[Gender].[All]" allUniqueName="[HR_Analytics].[Gender].[All]" dimensionUniqueName="[HR_Analytics]" displayFolder="" count="0" memberValueDatatype="130" unbalanced="0"/>
    <cacheHierarchy uniqueName="[HR_Analytics].[HourlyRate]" caption="HourlyRate" attribute="1" defaultMemberUniqueName="[HR_Analytics].[HourlyRate].[All]" allUniqueName="[HR_Analytics].[HourlyRate].[All]" dimensionUniqueName="[HR_Analytics]" displayFolder="" count="0" memberValueDatatype="20" unbalanced="0"/>
    <cacheHierarchy uniqueName="[HR_Analytics].[JobInvolvement]" caption="JobInvolvement" attribute="1" defaultMemberUniqueName="[HR_Analytics].[JobInvolvement].[All]" allUniqueName="[HR_Analytics].[JobInvolvement].[All]" dimensionUniqueName="[HR_Analytics]" displayFolder="" count="0" memberValueDatatype="20" unbalanced="0"/>
    <cacheHierarchy uniqueName="[HR_Analytics].[JobLevel]" caption="JobLevel" attribute="1" defaultMemberUniqueName="[HR_Analytics].[JobLevel].[All]" allUniqueName="[HR_Analytics].[JobLevel].[All]" dimensionUniqueName="[HR_Analytics]" displayFolder="" count="0" memberValueDatatype="20" unbalanced="0"/>
    <cacheHierarchy uniqueName="[HR_Analytics].[JobRole]" caption="JobRole" attribute="1" defaultMemberUniqueName="[HR_Analytics].[JobRole].[All]" allUniqueName="[HR_Analytics].[JobRole].[All]" dimensionUniqueName="[HR_Analytics]" displayFolder="" count="0" memberValueDatatype="130" unbalanced="0"/>
    <cacheHierarchy uniqueName="[HR_Analytics].[JobSatisfaction]" caption="JobSatisfaction" attribute="1" defaultMemberUniqueName="[HR_Analytics].[JobSatisfaction].[All]" allUniqueName="[HR_Analytics].[JobSatisfaction].[All]" dimensionUniqueName="[HR_Analytics]" displayFolder="" count="0" memberValueDatatype="20" unbalanced="0"/>
    <cacheHierarchy uniqueName="[HR_Analytics].[MaritalStatus]" caption="MaritalStatus" attribute="1" defaultMemberUniqueName="[HR_Analytics].[MaritalStatus].[All]" allUniqueName="[HR_Analytics].[MaritalStatus].[All]" dimensionUniqueName="[HR_Analytics]" displayFolder="" count="0" memberValueDatatype="130" unbalanced="0"/>
    <cacheHierarchy uniqueName="[HR_Analytics].[MonthlyIncome]" caption="MonthlyIncome" attribute="1" defaultMemberUniqueName="[HR_Analytics].[MonthlyIncome].[All]" allUniqueName="[HR_Analytics].[MonthlyIncome].[All]" dimensionUniqueName="[HR_Analytics]" displayFolder="" count="0" memberValueDatatype="20" unbalanced="0"/>
    <cacheHierarchy uniqueName="[HR_Analytics].[SalarySlab]" caption="SalarySlab" attribute="1" defaultMemberUniqueName="[HR_Analytics].[SalarySlab].[All]" allUniqueName="[HR_Analytics].[SalarySlab].[All]" dimensionUniqueName="[HR_Analytics]" displayFolder="" count="2" memberValueDatatype="130" unbalanced="0"/>
    <cacheHierarchy uniqueName="[HR_Analytics].[MonthlyRate]" caption="MonthlyRate" attribute="1" defaultMemberUniqueName="[HR_Analytics].[MonthlyRate].[All]" allUniqueName="[HR_Analytics].[MonthlyRate].[All]" dimensionUniqueName="[HR_Analytics]" displayFolder="" count="0" memberValueDatatype="20" unbalanced="0"/>
    <cacheHierarchy uniqueName="[HR_Analytics].[NumCompaniesWorked]" caption="NumCompaniesWorked" attribute="1" defaultMemberUniqueName="[HR_Analytics].[NumCompaniesWorked].[All]" allUniqueName="[HR_Analytics].[NumCompaniesWorked].[All]" dimensionUniqueName="[HR_Analytics]" displayFolder="" count="0" memberValueDatatype="20" unbalanced="0"/>
    <cacheHierarchy uniqueName="[HR_Analytics].[Over18]" caption="Over18" attribute="1" defaultMemberUniqueName="[HR_Analytics].[Over18].[All]" allUniqueName="[HR_Analytics].[Over18].[All]" dimensionUniqueName="[HR_Analytics]" displayFolder="" count="0" memberValueDatatype="130" unbalanced="0"/>
    <cacheHierarchy uniqueName="[HR_Analytics].[OverTime]" caption="OverTime" attribute="1" defaultMemberUniqueName="[HR_Analytics].[OverTime].[All]" allUniqueName="[HR_Analytics].[OverTime].[All]" dimensionUniqueName="[HR_Analytics]" displayFolder="" count="0" memberValueDatatype="130" unbalanced="0"/>
    <cacheHierarchy uniqueName="[HR_Analytics].[PercentSalaryHike]" caption="PercentSalaryHike" attribute="1" defaultMemberUniqueName="[HR_Analytics].[PercentSalaryHike].[All]" allUniqueName="[HR_Analytics].[PercentSalaryHike].[All]" dimensionUniqueName="[HR_Analytics]" displayFolder="" count="0" memberValueDatatype="20" unbalanced="0"/>
    <cacheHierarchy uniqueName="[HR_Analytics].[PerformanceRating]" caption="PerformanceRating" attribute="1" defaultMemberUniqueName="[HR_Analytics].[PerformanceRating].[All]" allUniqueName="[HR_Analytics].[PerformanceRating].[All]" dimensionUniqueName="[HR_Analytics]" displayFolder="" count="0" memberValueDatatype="20" unbalanced="0"/>
    <cacheHierarchy uniqueName="[HR_Analytics].[RelationshipSatisfaction]" caption="RelationshipSatisfaction" attribute="1" defaultMemberUniqueName="[HR_Analytics].[RelationshipSatisfaction].[All]" allUniqueName="[HR_Analytics].[RelationshipSatisfaction].[All]" dimensionUniqueName="[HR_Analytics]" displayFolder="" count="0" memberValueDatatype="20" unbalanced="0"/>
    <cacheHierarchy uniqueName="[HR_Analytics].[StandardHours]" caption="StandardHours" attribute="1" defaultMemberUniqueName="[HR_Analytics].[StandardHours].[All]" allUniqueName="[HR_Analytics].[StandardHours].[All]" dimensionUniqueName="[HR_Analytics]" displayFolder="" count="0" memberValueDatatype="20" unbalanced="0"/>
    <cacheHierarchy uniqueName="[HR_Analytics].[StockOptionLevel]" caption="StockOptionLevel" attribute="1" defaultMemberUniqueName="[HR_Analytics].[StockOptionLevel].[All]" allUniqueName="[HR_Analytics].[StockOptionLevel].[All]" dimensionUniqueName="[HR_Analytics]" displayFolder="" count="0" memberValueDatatype="20" unbalanced="0"/>
    <cacheHierarchy uniqueName="[HR_Analytics].[TotalWorkingYears]" caption="TotalWorkingYears" attribute="1" defaultMemberUniqueName="[HR_Analytics].[TotalWorkingYears].[All]" allUniqueName="[HR_Analytics].[TotalWorkingYears].[All]" dimensionUniqueName="[HR_Analytics]" displayFolder="" count="0" memberValueDatatype="20" unbalanced="0"/>
    <cacheHierarchy uniqueName="[HR_Analytics].[TrainingTimesLastYear]" caption="TrainingTimesLastYear" attribute="1" defaultMemberUniqueName="[HR_Analytics].[TrainingTimesLastYear].[All]" allUniqueName="[HR_Analytics].[TrainingTimesLastYear].[All]" dimensionUniqueName="[HR_Analytics]" displayFolder="" count="0" memberValueDatatype="20" unbalanced="0"/>
    <cacheHierarchy uniqueName="[HR_Analytics].[WorkLifeBalance]" caption="WorkLifeBalance" attribute="1" defaultMemberUniqueName="[HR_Analytics].[WorkLifeBalance].[All]" allUniqueName="[HR_Analytics].[WorkLifeBalance].[All]" dimensionUniqueName="[HR_Analytics]" displayFolder="" count="0" memberValueDatatype="20" unbalanced="0"/>
    <cacheHierarchy uniqueName="[HR_Analytics].[YearsAtCompany]" caption="YearsAtCompany" attribute="1" defaultMemberUniqueName="[HR_Analytics].[YearsAtCompany].[All]" allUniqueName="[HR_Analytics].[YearsAtCompany].[All]" dimensionUniqueName="[HR_Analytics]" displayFolder="" count="0" memberValueDatatype="20" unbalanced="0"/>
    <cacheHierarchy uniqueName="[HR_Analytics].[YearsInCurrentRole]" caption="YearsInCurrentRole" attribute="1" defaultMemberUniqueName="[HR_Analytics].[YearsInCurrentRole].[All]" allUniqueName="[HR_Analytics].[YearsInCurrentRole].[All]" dimensionUniqueName="[HR_Analytics]" displayFolder="" count="0" memberValueDatatype="20" unbalanced="0"/>
    <cacheHierarchy uniqueName="[HR_Analytics].[YearsSinceLastPromotion]" caption="YearsSinceLastPromotion" attribute="1" defaultMemberUniqueName="[HR_Analytics].[YearsSinceLastPromotion].[All]" allUniqueName="[HR_Analytics].[YearsSinceLastPromotion].[All]" dimensionUniqueName="[HR_Analytics]" displayFolder="" count="0" memberValueDatatype="20" unbalanced="0"/>
    <cacheHierarchy uniqueName="[HR_Analytics].[YearsWithCurrManager]" caption="YearsWithCurrManager" attribute="1" defaultMemberUniqueName="[HR_Analytics].[YearsWithCurrManager].[All]" allUniqueName="[HR_Analytics].[YearsWithCurrManager].[All]" dimensionUniqueName="[HR_Analytics]" displayFolder="" count="0" memberValueDatatype="5" unbalanced="0"/>
    <cacheHierarchy uniqueName="[Table1].[Column]" caption="Column" attribute="1" defaultMemberUniqueName="[Table1].[Column].[All]" allUniqueName="[Table1].[Column].[All]" dimensionUniqueName="[Table1]" displayFolder="" count="0" memberValueDatatype="130" unbalanced="0"/>
    <cacheHierarchy uniqueName="[Table1].[المعنى بالعربي]" caption="المعنى بالعربي" attribute="1" defaultMemberUniqueName="[Table1].[المعنى بالعربي].[All]" allUniqueName="[Table1].[المعنى بالعربي].[All]" dimensionUniqueName="[Table1]" displayFolder="" count="0" memberValueDatatype="130" unbalanced="0"/>
    <cacheHierarchy uniqueName="[Measures].[Total Employess]" caption="Total Employess" measure="1" displayFolder="" measureGroup="HR_Analytics" count="0"/>
    <cacheHierarchy uniqueName="[Measures].[Attrition Rate]" caption="Attrition Rate" measure="1" displayFolder="" measureGroup="HR_Analytics" count="0"/>
    <cacheHierarchy uniqueName="[Measures].[Overtime Rate]" caption="Overtime Rate" measure="1" displayFolder="" measureGroup="HR_Analytics" count="0"/>
    <cacheHierarchy uniqueName="[Measures].[Stasfaction Score]" caption="Stasfaction Score" measure="1" displayFolder="" measureGroup="HR_Analytics" count="0"/>
    <cacheHierarchy uniqueName="[Measures].[Monthly Income]" caption="Monthly Income" measure="1" displayFolder="" measureGroup="HR_Analytics" count="0"/>
    <cacheHierarchy uniqueName="[Measures].[Avg Age]" caption="Avg Age" measure="1" displayFolder="" measureGroup="HR_Analytics" count="0"/>
    <cacheHierarchy uniqueName="[Measures].[Avg Tenure]" caption="Avg Tenure" measure="1" displayFolder="" measureGroup="HR_Analytics" count="0"/>
    <cacheHierarchy uniqueName="[Measures].[Avg Env Sat]" caption="Avg Env Sat" measure="1" displayFolder="" measureGroup="HR_Analytics" count="0" oneField="1">
      <fieldsUsage count="1">
        <fieldUsage x="1"/>
      </fieldsUsage>
    </cacheHierarchy>
    <cacheHierarchy uniqueName="[Measures].[Avg WLB]" caption="Avg WLB" measure="1" displayFolder="" measureGroup="HR_Analytics" count="0" oneField="1">
      <fieldsUsage count="1">
        <fieldUsage x="2"/>
      </fieldsUsage>
    </cacheHierarchy>
    <cacheHierarchy uniqueName="[Measures].[__XL_Count Table1]" caption="__XL_Count Table1" measure="1" displayFolder="" measureGroup="Table1" count="0" hidden="1"/>
    <cacheHierarchy uniqueName="[Measures].[__XL_Count HR_Analytics]" caption="__XL_Count HR_Analytics" measure="1" displayFolder="" measureGroup="HR_Analytics" count="0" hidden="1"/>
    <cacheHierarchy uniqueName="[Measures].[__No measures defined]" caption="__No measures defined" measure="1" displayFolder="" count="0" hidden="1"/>
    <cacheHierarchy uniqueName="[Measures].[Sum of Age]" caption="Sum of Age" measure="1" displayFolder="" measureGroup="HR_Analytics" count="0" hidden="1">
      <extLst>
        <ext xmlns:x15="http://schemas.microsoft.com/office/spreadsheetml/2010/11/main" uri="{B97F6D7D-B522-45F9-BDA1-12C45D357490}">
          <x15:cacheHierarchy aggregatedColumn="1"/>
        </ext>
      </extLst>
    </cacheHierarchy>
    <cacheHierarchy uniqueName="[Measures].[Count of Attrition]" caption="Count of Attrition" measure="1" displayFolder="" measureGroup="HR_Analytics" count="0" hidden="1">
      <extLst>
        <ext xmlns:x15="http://schemas.microsoft.com/office/spreadsheetml/2010/11/main" uri="{B97F6D7D-B522-45F9-BDA1-12C45D357490}">
          <x15:cacheHierarchy aggregatedColumn="3"/>
        </ext>
      </extLst>
    </cacheHierarchy>
    <cacheHierarchy uniqueName="[Measures].[Count of OverTime]" caption="Count of OverTime" measure="1" displayFolder="" measureGroup="HR_Analytics" count="0" hidden="1">
      <extLst>
        <ext xmlns:x15="http://schemas.microsoft.com/office/spreadsheetml/2010/11/main" uri="{B97F6D7D-B522-45F9-BDA1-12C45D357490}">
          <x15:cacheHierarchy aggregatedColumn="25"/>
        </ext>
      </extLst>
    </cacheHierarchy>
    <cacheHierarchy uniqueName="[Measures].[Count of Department]" caption="Count of Department" measure="1" displayFolder="" measureGroup="HR_Analytics" count="0" hidden="1">
      <extLst>
        <ext xmlns:x15="http://schemas.microsoft.com/office/spreadsheetml/2010/11/main" uri="{B97F6D7D-B522-45F9-BDA1-12C45D357490}">
          <x15:cacheHierarchy aggregatedColumn="6"/>
        </ext>
      </extLst>
    </cacheHierarchy>
  </cacheHierarchies>
  <kpis count="0"/>
  <dimensions count="3">
    <dimension name="HR_Analytics" uniqueName="[HR_Analytics]" caption="HR_Analytics"/>
    <dimension measure="1" name="Measures" uniqueName="[Measures]" caption="Measures"/>
    <dimension name="Table1" uniqueName="[Table1]" caption="Table1"/>
  </dimensions>
  <measureGroups count="2">
    <measureGroup name="HR_Analytics" caption="HR_Analytics"/>
    <measureGroup name="Table1" caption="Table1"/>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323.833607291665" backgroundQuery="1" createdVersion="8" refreshedVersion="8" minRefreshableVersion="3" recordCount="0" supportSubquery="1" supportAdvancedDrill="1" xr:uid="{CBCF6536-D295-472D-868D-B851B1D4BF0B}">
  <cacheSource type="external" connectionId="2"/>
  <cacheFields count="2">
    <cacheField name="[HR_Analytics].[Department].[Department]" caption="Department" numFmtId="0" hierarchy="6" level="1">
      <sharedItems count="3">
        <s v="Human Resources"/>
        <s v="Research &amp; Development"/>
        <s v="Sales"/>
      </sharedItems>
    </cacheField>
    <cacheField name="[Measures].[Total Employess]" caption="Total Employess" numFmtId="0" hierarchy="40" level="32767"/>
  </cacheFields>
  <cacheHierarchies count="56">
    <cacheHierarchy uniqueName="[HR_Analytics].[EmpID]" caption="EmpID" attribute="1" defaultMemberUniqueName="[HR_Analytics].[EmpID].[All]" allUniqueName="[HR_Analytics].[EmpID].[All]" dimensionUniqueName="[HR_Analytics]" displayFolder="" count="0" memberValueDatatype="130" unbalanced="0"/>
    <cacheHierarchy uniqueName="[HR_Analytics].[Age]" caption="Age" attribute="1" defaultMemberUniqueName="[HR_Analytics].[Age].[All]" allUniqueName="[HR_Analytics].[Age].[All]" dimensionUniqueName="[HR_Analytics]" displayFolder="" count="0" memberValueDatatype="20" unbalanced="0"/>
    <cacheHierarchy uniqueName="[HR_Analytics].[AgeGroup]" caption="AgeGroup" attribute="1" defaultMemberUniqueName="[HR_Analytics].[AgeGroup].[All]" allUniqueName="[HR_Analytics].[AgeGroup].[All]" dimensionUniqueName="[HR_Analytics]" displayFolder="" count="0" memberValueDatatype="130" unbalanced="0"/>
    <cacheHierarchy uniqueName="[HR_Analytics].[Attrition]" caption="Attrition" attribute="1" defaultMemberUniqueName="[HR_Analytics].[Attrition].[All]" allUniqueName="[HR_Analytics].[Attrition].[All]" dimensionUniqueName="[HR_Analytics]" displayFolder="" count="0" memberValueDatatype="130" unbalanced="0"/>
    <cacheHierarchy uniqueName="[HR_Analytics].[BusinessTravel]" caption="BusinessTravel" attribute="1" defaultMemberUniqueName="[HR_Analytics].[BusinessTravel].[All]" allUniqueName="[HR_Analytics].[BusinessTravel].[All]" dimensionUniqueName="[HR_Analytics]" displayFolder="" count="0" memberValueDatatype="130" unbalanced="0"/>
    <cacheHierarchy uniqueName="[HR_Analytics].[DailyRate]" caption="DailyRate" attribute="1" defaultMemberUniqueName="[HR_Analytics].[DailyRate].[All]" allUniqueName="[HR_Analytics].[DailyRate].[All]" dimensionUniqueName="[HR_Analytics]" displayFolder="" count="0" memberValueDatatype="20" unbalanced="0"/>
    <cacheHierarchy uniqueName="[HR_Analytics].[Department]" caption="Department" attribute="1" defaultMemberUniqueName="[HR_Analytics].[Department].[All]" allUniqueName="[HR_Analytics].[Department].[All]" dimensionUniqueName="[HR_Analytics]" displayFolder="" count="2" memberValueDatatype="130" unbalanced="0">
      <fieldsUsage count="2">
        <fieldUsage x="-1"/>
        <fieldUsage x="0"/>
      </fieldsUsage>
    </cacheHierarchy>
    <cacheHierarchy uniqueName="[HR_Analytics].[DistanceFromHome]" caption="DistanceFromHome" attribute="1" defaultMemberUniqueName="[HR_Analytics].[DistanceFromHome].[All]" allUniqueName="[HR_Analytics].[DistanceFromHome].[All]" dimensionUniqueName="[HR_Analytics]" displayFolder="" count="0" memberValueDatatype="20" unbalanced="0"/>
    <cacheHierarchy uniqueName="[HR_Analytics].[Education]" caption="Education" attribute="1" defaultMemberUniqueName="[HR_Analytics].[Education].[All]" allUniqueName="[HR_Analytics].[Education].[All]" dimensionUniqueName="[HR_Analytics]" displayFolder="" count="0" memberValueDatatype="20" unbalanced="0"/>
    <cacheHierarchy uniqueName="[HR_Analytics].[EducationField]" caption="EducationField" attribute="1" defaultMemberUniqueName="[HR_Analytics].[EducationField].[All]" allUniqueName="[HR_Analytics].[EducationField].[All]" dimensionUniqueName="[HR_Analytics]" displayFolder="" count="0" memberValueDatatype="130" unbalanced="0"/>
    <cacheHierarchy uniqueName="[HR_Analytics].[EmployeeCount]" caption="EmployeeCount" attribute="1" defaultMemberUniqueName="[HR_Analytics].[EmployeeCount].[All]" allUniqueName="[HR_Analytics].[EmployeeCount].[All]" dimensionUniqueName="[HR_Analytics]" displayFolder="" count="0" memberValueDatatype="20" unbalanced="0"/>
    <cacheHierarchy uniqueName="[HR_Analytics].[EmployeeNumber]" caption="EmployeeNumber" attribute="1" defaultMemberUniqueName="[HR_Analytics].[EmployeeNumber].[All]" allUniqueName="[HR_Analytics].[EmployeeNumber].[All]" dimensionUniqueName="[HR_Analytics]" displayFolder="" count="0" memberValueDatatype="20" unbalanced="0"/>
    <cacheHierarchy uniqueName="[HR_Analytics].[EnvironmentSatisfaction]" caption="EnvironmentSatisfaction" attribute="1" defaultMemberUniqueName="[HR_Analytics].[EnvironmentSatisfaction].[All]" allUniqueName="[HR_Analytics].[EnvironmentSatisfaction].[All]" dimensionUniqueName="[HR_Analytics]" displayFolder="" count="0" memberValueDatatype="20" unbalanced="0"/>
    <cacheHierarchy uniqueName="[HR_Analytics].[Gender]" caption="Gender" attribute="1" defaultMemberUniqueName="[HR_Analytics].[Gender].[All]" allUniqueName="[HR_Analytics].[Gender].[All]" dimensionUniqueName="[HR_Analytics]" displayFolder="" count="0" memberValueDatatype="130" unbalanced="0"/>
    <cacheHierarchy uniqueName="[HR_Analytics].[HourlyRate]" caption="HourlyRate" attribute="1" defaultMemberUniqueName="[HR_Analytics].[HourlyRate].[All]" allUniqueName="[HR_Analytics].[HourlyRate].[All]" dimensionUniqueName="[HR_Analytics]" displayFolder="" count="0" memberValueDatatype="20" unbalanced="0"/>
    <cacheHierarchy uniqueName="[HR_Analytics].[JobInvolvement]" caption="JobInvolvement" attribute="1" defaultMemberUniqueName="[HR_Analytics].[JobInvolvement].[All]" allUniqueName="[HR_Analytics].[JobInvolvement].[All]" dimensionUniqueName="[HR_Analytics]" displayFolder="" count="0" memberValueDatatype="20" unbalanced="0"/>
    <cacheHierarchy uniqueName="[HR_Analytics].[JobLevel]" caption="JobLevel" attribute="1" defaultMemberUniqueName="[HR_Analytics].[JobLevel].[All]" allUniqueName="[HR_Analytics].[JobLevel].[All]" dimensionUniqueName="[HR_Analytics]" displayFolder="" count="0" memberValueDatatype="20" unbalanced="0"/>
    <cacheHierarchy uniqueName="[HR_Analytics].[JobRole]" caption="JobRole" attribute="1" defaultMemberUniqueName="[HR_Analytics].[JobRole].[All]" allUniqueName="[HR_Analytics].[JobRole].[All]" dimensionUniqueName="[HR_Analytics]" displayFolder="" count="0" memberValueDatatype="130" unbalanced="0"/>
    <cacheHierarchy uniqueName="[HR_Analytics].[JobSatisfaction]" caption="JobSatisfaction" attribute="1" defaultMemberUniqueName="[HR_Analytics].[JobSatisfaction].[All]" allUniqueName="[HR_Analytics].[JobSatisfaction].[All]" dimensionUniqueName="[HR_Analytics]" displayFolder="" count="0" memberValueDatatype="20" unbalanced="0"/>
    <cacheHierarchy uniqueName="[HR_Analytics].[MaritalStatus]" caption="MaritalStatus" attribute="1" defaultMemberUniqueName="[HR_Analytics].[MaritalStatus].[All]" allUniqueName="[HR_Analytics].[MaritalStatus].[All]" dimensionUniqueName="[HR_Analytics]" displayFolder="" count="0" memberValueDatatype="130" unbalanced="0"/>
    <cacheHierarchy uniqueName="[HR_Analytics].[MonthlyIncome]" caption="MonthlyIncome" attribute="1" defaultMemberUniqueName="[HR_Analytics].[MonthlyIncome].[All]" allUniqueName="[HR_Analytics].[MonthlyIncome].[All]" dimensionUniqueName="[HR_Analytics]" displayFolder="" count="0" memberValueDatatype="20" unbalanced="0"/>
    <cacheHierarchy uniqueName="[HR_Analytics].[SalarySlab]" caption="SalarySlab" attribute="1" defaultMemberUniqueName="[HR_Analytics].[SalarySlab].[All]" allUniqueName="[HR_Analytics].[SalarySlab].[All]" dimensionUniqueName="[HR_Analytics]" displayFolder="" count="2" memberValueDatatype="130" unbalanced="0"/>
    <cacheHierarchy uniqueName="[HR_Analytics].[MonthlyRate]" caption="MonthlyRate" attribute="1" defaultMemberUniqueName="[HR_Analytics].[MonthlyRate].[All]" allUniqueName="[HR_Analytics].[MonthlyRate].[All]" dimensionUniqueName="[HR_Analytics]" displayFolder="" count="0" memberValueDatatype="20" unbalanced="0"/>
    <cacheHierarchy uniqueName="[HR_Analytics].[NumCompaniesWorked]" caption="NumCompaniesWorked" attribute="1" defaultMemberUniqueName="[HR_Analytics].[NumCompaniesWorked].[All]" allUniqueName="[HR_Analytics].[NumCompaniesWorked].[All]" dimensionUniqueName="[HR_Analytics]" displayFolder="" count="0" memberValueDatatype="20" unbalanced="0"/>
    <cacheHierarchy uniqueName="[HR_Analytics].[Over18]" caption="Over18" attribute="1" defaultMemberUniqueName="[HR_Analytics].[Over18].[All]" allUniqueName="[HR_Analytics].[Over18].[All]" dimensionUniqueName="[HR_Analytics]" displayFolder="" count="0" memberValueDatatype="130" unbalanced="0"/>
    <cacheHierarchy uniqueName="[HR_Analytics].[OverTime]" caption="OverTime" attribute="1" defaultMemberUniqueName="[HR_Analytics].[OverTime].[All]" allUniqueName="[HR_Analytics].[OverTime].[All]" dimensionUniqueName="[HR_Analytics]" displayFolder="" count="0" memberValueDatatype="130" unbalanced="0"/>
    <cacheHierarchy uniqueName="[HR_Analytics].[PercentSalaryHike]" caption="PercentSalaryHike" attribute="1" defaultMemberUniqueName="[HR_Analytics].[PercentSalaryHike].[All]" allUniqueName="[HR_Analytics].[PercentSalaryHike].[All]" dimensionUniqueName="[HR_Analytics]" displayFolder="" count="0" memberValueDatatype="20" unbalanced="0"/>
    <cacheHierarchy uniqueName="[HR_Analytics].[PerformanceRating]" caption="PerformanceRating" attribute="1" defaultMemberUniqueName="[HR_Analytics].[PerformanceRating].[All]" allUniqueName="[HR_Analytics].[PerformanceRating].[All]" dimensionUniqueName="[HR_Analytics]" displayFolder="" count="0" memberValueDatatype="20" unbalanced="0"/>
    <cacheHierarchy uniqueName="[HR_Analytics].[RelationshipSatisfaction]" caption="RelationshipSatisfaction" attribute="1" defaultMemberUniqueName="[HR_Analytics].[RelationshipSatisfaction].[All]" allUniqueName="[HR_Analytics].[RelationshipSatisfaction].[All]" dimensionUniqueName="[HR_Analytics]" displayFolder="" count="0" memberValueDatatype="20" unbalanced="0"/>
    <cacheHierarchy uniqueName="[HR_Analytics].[StandardHours]" caption="StandardHours" attribute="1" defaultMemberUniqueName="[HR_Analytics].[StandardHours].[All]" allUniqueName="[HR_Analytics].[StandardHours].[All]" dimensionUniqueName="[HR_Analytics]" displayFolder="" count="0" memberValueDatatype="20" unbalanced="0"/>
    <cacheHierarchy uniqueName="[HR_Analytics].[StockOptionLevel]" caption="StockOptionLevel" attribute="1" defaultMemberUniqueName="[HR_Analytics].[StockOptionLevel].[All]" allUniqueName="[HR_Analytics].[StockOptionLevel].[All]" dimensionUniqueName="[HR_Analytics]" displayFolder="" count="0" memberValueDatatype="20" unbalanced="0"/>
    <cacheHierarchy uniqueName="[HR_Analytics].[TotalWorkingYears]" caption="TotalWorkingYears" attribute="1" defaultMemberUniqueName="[HR_Analytics].[TotalWorkingYears].[All]" allUniqueName="[HR_Analytics].[TotalWorkingYears].[All]" dimensionUniqueName="[HR_Analytics]" displayFolder="" count="0" memberValueDatatype="20" unbalanced="0"/>
    <cacheHierarchy uniqueName="[HR_Analytics].[TrainingTimesLastYear]" caption="TrainingTimesLastYear" attribute="1" defaultMemberUniqueName="[HR_Analytics].[TrainingTimesLastYear].[All]" allUniqueName="[HR_Analytics].[TrainingTimesLastYear].[All]" dimensionUniqueName="[HR_Analytics]" displayFolder="" count="0" memberValueDatatype="20" unbalanced="0"/>
    <cacheHierarchy uniqueName="[HR_Analytics].[WorkLifeBalance]" caption="WorkLifeBalance" attribute="1" defaultMemberUniqueName="[HR_Analytics].[WorkLifeBalance].[All]" allUniqueName="[HR_Analytics].[WorkLifeBalance].[All]" dimensionUniqueName="[HR_Analytics]" displayFolder="" count="0" memberValueDatatype="20" unbalanced="0"/>
    <cacheHierarchy uniqueName="[HR_Analytics].[YearsAtCompany]" caption="YearsAtCompany" attribute="1" defaultMemberUniqueName="[HR_Analytics].[YearsAtCompany].[All]" allUniqueName="[HR_Analytics].[YearsAtCompany].[All]" dimensionUniqueName="[HR_Analytics]" displayFolder="" count="0" memberValueDatatype="20" unbalanced="0"/>
    <cacheHierarchy uniqueName="[HR_Analytics].[YearsInCurrentRole]" caption="YearsInCurrentRole" attribute="1" defaultMemberUniqueName="[HR_Analytics].[YearsInCurrentRole].[All]" allUniqueName="[HR_Analytics].[YearsInCurrentRole].[All]" dimensionUniqueName="[HR_Analytics]" displayFolder="" count="0" memberValueDatatype="20" unbalanced="0"/>
    <cacheHierarchy uniqueName="[HR_Analytics].[YearsSinceLastPromotion]" caption="YearsSinceLastPromotion" attribute="1" defaultMemberUniqueName="[HR_Analytics].[YearsSinceLastPromotion].[All]" allUniqueName="[HR_Analytics].[YearsSinceLastPromotion].[All]" dimensionUniqueName="[HR_Analytics]" displayFolder="" count="0" memberValueDatatype="20" unbalanced="0"/>
    <cacheHierarchy uniqueName="[HR_Analytics].[YearsWithCurrManager]" caption="YearsWithCurrManager" attribute="1" defaultMemberUniqueName="[HR_Analytics].[YearsWithCurrManager].[All]" allUniqueName="[HR_Analytics].[YearsWithCurrManager].[All]" dimensionUniqueName="[HR_Analytics]" displayFolder="" count="0" memberValueDatatype="5" unbalanced="0"/>
    <cacheHierarchy uniqueName="[Table1].[Column]" caption="Column" attribute="1" defaultMemberUniqueName="[Table1].[Column].[All]" allUniqueName="[Table1].[Column].[All]" dimensionUniqueName="[Table1]" displayFolder="" count="0" memberValueDatatype="130" unbalanced="0"/>
    <cacheHierarchy uniqueName="[Table1].[المعنى بالعربي]" caption="المعنى بالعربي" attribute="1" defaultMemberUniqueName="[Table1].[المعنى بالعربي].[All]" allUniqueName="[Table1].[المعنى بالعربي].[All]" dimensionUniqueName="[Table1]" displayFolder="" count="0" memberValueDatatype="130" unbalanced="0"/>
    <cacheHierarchy uniqueName="[Measures].[Total Employess]" caption="Total Employess" measure="1" displayFolder="" measureGroup="HR_Analytics" count="0" oneField="1">
      <fieldsUsage count="1">
        <fieldUsage x="1"/>
      </fieldsUsage>
    </cacheHierarchy>
    <cacheHierarchy uniqueName="[Measures].[Attrition Rate]" caption="Attrition Rate" measure="1" displayFolder="" measureGroup="HR_Analytics" count="0"/>
    <cacheHierarchy uniqueName="[Measures].[Overtime Rate]" caption="Overtime Rate" measure="1" displayFolder="" measureGroup="HR_Analytics" count="0"/>
    <cacheHierarchy uniqueName="[Measures].[Stasfaction Score]" caption="Stasfaction Score" measure="1" displayFolder="" measureGroup="HR_Analytics" count="0"/>
    <cacheHierarchy uniqueName="[Measures].[Monthly Income]" caption="Monthly Income" measure="1" displayFolder="" measureGroup="HR_Analytics" count="0"/>
    <cacheHierarchy uniqueName="[Measures].[Avg Age]" caption="Avg Age" measure="1" displayFolder="" measureGroup="HR_Analytics" count="0"/>
    <cacheHierarchy uniqueName="[Measures].[Avg Tenure]" caption="Avg Tenure" measure="1" displayFolder="" measureGroup="HR_Analytics" count="0"/>
    <cacheHierarchy uniqueName="[Measures].[Avg Env Sat]" caption="Avg Env Sat" measure="1" displayFolder="" measureGroup="HR_Analytics" count="0"/>
    <cacheHierarchy uniqueName="[Measures].[Avg WLB]" caption="Avg WLB" measure="1" displayFolder="" measureGroup="HR_Analytics" count="0"/>
    <cacheHierarchy uniqueName="[Measures].[__XL_Count Table1]" caption="__XL_Count Table1" measure="1" displayFolder="" measureGroup="Table1" count="0" hidden="1"/>
    <cacheHierarchy uniqueName="[Measures].[__XL_Count HR_Analytics]" caption="__XL_Count HR_Analytics" measure="1" displayFolder="" measureGroup="HR_Analytics" count="0" hidden="1"/>
    <cacheHierarchy uniqueName="[Measures].[__No measures defined]" caption="__No measures defined" measure="1" displayFolder="" count="0" hidden="1"/>
    <cacheHierarchy uniqueName="[Measures].[Sum of Age]" caption="Sum of Age" measure="1" displayFolder="" measureGroup="HR_Analytics" count="0" hidden="1">
      <extLst>
        <ext xmlns:x15="http://schemas.microsoft.com/office/spreadsheetml/2010/11/main" uri="{B97F6D7D-B522-45F9-BDA1-12C45D357490}">
          <x15:cacheHierarchy aggregatedColumn="1"/>
        </ext>
      </extLst>
    </cacheHierarchy>
    <cacheHierarchy uniqueName="[Measures].[Count of Attrition]" caption="Count of Attrition" measure="1" displayFolder="" measureGroup="HR_Analytics" count="0" hidden="1">
      <extLst>
        <ext xmlns:x15="http://schemas.microsoft.com/office/spreadsheetml/2010/11/main" uri="{B97F6D7D-B522-45F9-BDA1-12C45D357490}">
          <x15:cacheHierarchy aggregatedColumn="3"/>
        </ext>
      </extLst>
    </cacheHierarchy>
    <cacheHierarchy uniqueName="[Measures].[Count of OverTime]" caption="Count of OverTime" measure="1" displayFolder="" measureGroup="HR_Analytics" count="0" hidden="1">
      <extLst>
        <ext xmlns:x15="http://schemas.microsoft.com/office/spreadsheetml/2010/11/main" uri="{B97F6D7D-B522-45F9-BDA1-12C45D357490}">
          <x15:cacheHierarchy aggregatedColumn="25"/>
        </ext>
      </extLst>
    </cacheHierarchy>
    <cacheHierarchy uniqueName="[Measures].[Count of Department]" caption="Count of Department" measure="1" displayFolder="" measureGroup="HR_Analytics" count="0" hidden="1">
      <extLst>
        <ext xmlns:x15="http://schemas.microsoft.com/office/spreadsheetml/2010/11/main" uri="{B97F6D7D-B522-45F9-BDA1-12C45D357490}">
          <x15:cacheHierarchy aggregatedColumn="6"/>
        </ext>
      </extLst>
    </cacheHierarchy>
  </cacheHierarchies>
  <kpis count="0"/>
  <dimensions count="3">
    <dimension name="HR_Analytics" uniqueName="[HR_Analytics]" caption="HR_Analytics"/>
    <dimension measure="1" name="Measures" uniqueName="[Measures]" caption="Measures"/>
    <dimension name="Table1" uniqueName="[Table1]" caption="Table1"/>
  </dimensions>
  <measureGroups count="2">
    <measureGroup name="HR_Analytics" caption="HR_Analytics"/>
    <measureGroup name="Table1" caption="Table1"/>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88.066760300928" backgroundQuery="1" createdVersion="3" refreshedVersion="8" minRefreshableVersion="3" recordCount="0" supportSubquery="1" supportAdvancedDrill="1" xr:uid="{224FC585-3A32-4599-A421-7E80A1B6E9D6}">
  <cacheSource type="external" connectionId="2">
    <extLst>
      <ext xmlns:x14="http://schemas.microsoft.com/office/spreadsheetml/2009/9/main" uri="{F057638F-6D5F-4e77-A914-E7F072B9BCA8}">
        <x14:sourceConnection name="ThisWorkbookDataModel"/>
      </ext>
    </extLst>
  </cacheSource>
  <cacheFields count="0"/>
  <cacheHierarchies count="48">
    <cacheHierarchy uniqueName="[HR_Analytics].[EmpID]" caption="EmpID" attribute="1" defaultMemberUniqueName="[HR_Analytics].[EmpID].[All]" allUniqueName="[HR_Analytics].[EmpID].[All]" dimensionUniqueName="[HR_Analytics]" displayFolder="" count="0" memberValueDatatype="130" unbalanced="0"/>
    <cacheHierarchy uniqueName="[HR_Analytics].[Age]" caption="Age" attribute="1" defaultMemberUniqueName="[HR_Analytics].[Age].[All]" allUniqueName="[HR_Analytics].[Age].[All]" dimensionUniqueName="[HR_Analytics]" displayFolder="" count="0" memberValueDatatype="20" unbalanced="0"/>
    <cacheHierarchy uniqueName="[HR_Analytics].[AgeGroup]" caption="AgeGroup" attribute="1" defaultMemberUniqueName="[HR_Analytics].[AgeGroup].[All]" allUniqueName="[HR_Analytics].[AgeGroup].[All]" dimensionUniqueName="[HR_Analytics]" displayFolder="" count="0" memberValueDatatype="130" unbalanced="0"/>
    <cacheHierarchy uniqueName="[HR_Analytics].[Attrition]" caption="Attrition" attribute="1" defaultMemberUniqueName="[HR_Analytics].[Attrition].[All]" allUniqueName="[HR_Analytics].[Attrition].[All]" dimensionUniqueName="[HR_Analytics]" displayFolder="" count="0" memberValueDatatype="130" unbalanced="0"/>
    <cacheHierarchy uniqueName="[HR_Analytics].[BusinessTravel]" caption="BusinessTravel" attribute="1" defaultMemberUniqueName="[HR_Analytics].[BusinessTravel].[All]" allUniqueName="[HR_Analytics].[BusinessTravel].[All]" dimensionUniqueName="[HR_Analytics]" displayFolder="" count="0" memberValueDatatype="130" unbalanced="0"/>
    <cacheHierarchy uniqueName="[HR_Analytics].[DailyRate]" caption="DailyRate" attribute="1" defaultMemberUniqueName="[HR_Analytics].[DailyRate].[All]" allUniqueName="[HR_Analytics].[DailyRate].[All]" dimensionUniqueName="[HR_Analytics]" displayFolder="" count="0" memberValueDatatype="20" unbalanced="0"/>
    <cacheHierarchy uniqueName="[HR_Analytics].[Department]" caption="Department" attribute="1" defaultMemberUniqueName="[HR_Analytics].[Department].[All]" allUniqueName="[HR_Analytics].[Department].[All]" dimensionUniqueName="[HR_Analytics]" displayFolder="" count="2" memberValueDatatype="130" unbalanced="0"/>
    <cacheHierarchy uniqueName="[HR_Analytics].[DistanceFromHome]" caption="DistanceFromHome" attribute="1" defaultMemberUniqueName="[HR_Analytics].[DistanceFromHome].[All]" allUniqueName="[HR_Analytics].[DistanceFromHome].[All]" dimensionUniqueName="[HR_Analytics]" displayFolder="" count="0" memberValueDatatype="20" unbalanced="0"/>
    <cacheHierarchy uniqueName="[HR_Analytics].[Education]" caption="Education" attribute="1" defaultMemberUniqueName="[HR_Analytics].[Education].[All]" allUniqueName="[HR_Analytics].[Education].[All]" dimensionUniqueName="[HR_Analytics]" displayFolder="" count="0" memberValueDatatype="20" unbalanced="0"/>
    <cacheHierarchy uniqueName="[HR_Analytics].[EducationField]" caption="EducationField" attribute="1" defaultMemberUniqueName="[HR_Analytics].[EducationField].[All]" allUniqueName="[HR_Analytics].[EducationField].[All]" dimensionUniqueName="[HR_Analytics]" displayFolder="" count="0" memberValueDatatype="130" unbalanced="0"/>
    <cacheHierarchy uniqueName="[HR_Analytics].[EmployeeCount]" caption="EmployeeCount" attribute="1" defaultMemberUniqueName="[HR_Analytics].[EmployeeCount].[All]" allUniqueName="[HR_Analytics].[EmployeeCount].[All]" dimensionUniqueName="[HR_Analytics]" displayFolder="" count="0" memberValueDatatype="20" unbalanced="0"/>
    <cacheHierarchy uniqueName="[HR_Analytics].[EmployeeNumber]" caption="EmployeeNumber" attribute="1" defaultMemberUniqueName="[HR_Analytics].[EmployeeNumber].[All]" allUniqueName="[HR_Analytics].[EmployeeNumber].[All]" dimensionUniqueName="[HR_Analytics]" displayFolder="" count="0" memberValueDatatype="20" unbalanced="0"/>
    <cacheHierarchy uniqueName="[HR_Analytics].[EnvironmentSatisfaction]" caption="EnvironmentSatisfaction" attribute="1" defaultMemberUniqueName="[HR_Analytics].[EnvironmentSatisfaction].[All]" allUniqueName="[HR_Analytics].[EnvironmentSatisfaction].[All]" dimensionUniqueName="[HR_Analytics]" displayFolder="" count="0" memberValueDatatype="20" unbalanced="0"/>
    <cacheHierarchy uniqueName="[HR_Analytics].[Gender]" caption="Gender" attribute="1" defaultMemberUniqueName="[HR_Analytics].[Gender].[All]" allUniqueName="[HR_Analytics].[Gender].[All]" dimensionUniqueName="[HR_Analytics]" displayFolder="" count="0" memberValueDatatype="130" unbalanced="0"/>
    <cacheHierarchy uniqueName="[HR_Analytics].[HourlyRate]" caption="HourlyRate" attribute="1" defaultMemberUniqueName="[HR_Analytics].[HourlyRate].[All]" allUniqueName="[HR_Analytics].[HourlyRate].[All]" dimensionUniqueName="[HR_Analytics]" displayFolder="" count="0" memberValueDatatype="20" unbalanced="0"/>
    <cacheHierarchy uniqueName="[HR_Analytics].[JobInvolvement]" caption="JobInvolvement" attribute="1" defaultMemberUniqueName="[HR_Analytics].[JobInvolvement].[All]" allUniqueName="[HR_Analytics].[JobInvolvement].[All]" dimensionUniqueName="[HR_Analytics]" displayFolder="" count="0" memberValueDatatype="20" unbalanced="0"/>
    <cacheHierarchy uniqueName="[HR_Analytics].[JobLevel]" caption="JobLevel" attribute="1" defaultMemberUniqueName="[HR_Analytics].[JobLevel].[All]" allUniqueName="[HR_Analytics].[JobLevel].[All]" dimensionUniqueName="[HR_Analytics]" displayFolder="" count="0" memberValueDatatype="20" unbalanced="0"/>
    <cacheHierarchy uniqueName="[HR_Analytics].[JobRole]" caption="JobRole" attribute="1" defaultMemberUniqueName="[HR_Analytics].[JobRole].[All]" allUniqueName="[HR_Analytics].[JobRole].[All]" dimensionUniqueName="[HR_Analytics]" displayFolder="" count="0" memberValueDatatype="130" unbalanced="0"/>
    <cacheHierarchy uniqueName="[HR_Analytics].[JobSatisfaction]" caption="JobSatisfaction" attribute="1" defaultMemberUniqueName="[HR_Analytics].[JobSatisfaction].[All]" allUniqueName="[HR_Analytics].[JobSatisfaction].[All]" dimensionUniqueName="[HR_Analytics]" displayFolder="" count="0" memberValueDatatype="20" unbalanced="0"/>
    <cacheHierarchy uniqueName="[HR_Analytics].[MaritalStatus]" caption="MaritalStatus" attribute="1" defaultMemberUniqueName="[HR_Analytics].[MaritalStatus].[All]" allUniqueName="[HR_Analytics].[MaritalStatus].[All]" dimensionUniqueName="[HR_Analytics]" displayFolder="" count="0" memberValueDatatype="130" unbalanced="0"/>
    <cacheHierarchy uniqueName="[HR_Analytics].[MonthlyIncome]" caption="MonthlyIncome" attribute="1" defaultMemberUniqueName="[HR_Analytics].[MonthlyIncome].[All]" allUniqueName="[HR_Analytics].[MonthlyIncome].[All]" dimensionUniqueName="[HR_Analytics]" displayFolder="" count="0" memberValueDatatype="20" unbalanced="0"/>
    <cacheHierarchy uniqueName="[HR_Analytics].[SalarySlab]" caption="SalarySlab" attribute="1" defaultMemberUniqueName="[HR_Analytics].[SalarySlab].[All]" allUniqueName="[HR_Analytics].[SalarySlab].[All]" dimensionUniqueName="[HR_Analytics]" displayFolder="" count="2" memberValueDatatype="130" unbalanced="0"/>
    <cacheHierarchy uniqueName="[HR_Analytics].[MonthlyRate]" caption="MonthlyRate" attribute="1" defaultMemberUniqueName="[HR_Analytics].[MonthlyRate].[All]" allUniqueName="[HR_Analytics].[MonthlyRate].[All]" dimensionUniqueName="[HR_Analytics]" displayFolder="" count="0" memberValueDatatype="20" unbalanced="0"/>
    <cacheHierarchy uniqueName="[HR_Analytics].[NumCompaniesWorked]" caption="NumCompaniesWorked" attribute="1" defaultMemberUniqueName="[HR_Analytics].[NumCompaniesWorked].[All]" allUniqueName="[HR_Analytics].[NumCompaniesWorked].[All]" dimensionUniqueName="[HR_Analytics]" displayFolder="" count="0" memberValueDatatype="20" unbalanced="0"/>
    <cacheHierarchy uniqueName="[HR_Analytics].[Over18]" caption="Over18" attribute="1" defaultMemberUniqueName="[HR_Analytics].[Over18].[All]" allUniqueName="[HR_Analytics].[Over18].[All]" dimensionUniqueName="[HR_Analytics]" displayFolder="" count="0" memberValueDatatype="130" unbalanced="0"/>
    <cacheHierarchy uniqueName="[HR_Analytics].[OverTime]" caption="OverTime" attribute="1" defaultMemberUniqueName="[HR_Analytics].[OverTime].[All]" allUniqueName="[HR_Analytics].[OverTime].[All]" dimensionUniqueName="[HR_Analytics]" displayFolder="" count="0" memberValueDatatype="130" unbalanced="0"/>
    <cacheHierarchy uniqueName="[HR_Analytics].[PercentSalaryHike]" caption="PercentSalaryHike" attribute="1" defaultMemberUniqueName="[HR_Analytics].[PercentSalaryHike].[All]" allUniqueName="[HR_Analytics].[PercentSalaryHike].[All]" dimensionUniqueName="[HR_Analytics]" displayFolder="" count="0" memberValueDatatype="20" unbalanced="0"/>
    <cacheHierarchy uniqueName="[HR_Analytics].[PerformanceRating]" caption="PerformanceRating" attribute="1" defaultMemberUniqueName="[HR_Analytics].[PerformanceRating].[All]" allUniqueName="[HR_Analytics].[PerformanceRating].[All]" dimensionUniqueName="[HR_Analytics]" displayFolder="" count="0" memberValueDatatype="20" unbalanced="0"/>
    <cacheHierarchy uniqueName="[HR_Analytics].[RelationshipSatisfaction]" caption="RelationshipSatisfaction" attribute="1" defaultMemberUniqueName="[HR_Analytics].[RelationshipSatisfaction].[All]" allUniqueName="[HR_Analytics].[RelationshipSatisfaction].[All]" dimensionUniqueName="[HR_Analytics]" displayFolder="" count="0" memberValueDatatype="20" unbalanced="0"/>
    <cacheHierarchy uniqueName="[HR_Analytics].[StandardHours]" caption="StandardHours" attribute="1" defaultMemberUniqueName="[HR_Analytics].[StandardHours].[All]" allUniqueName="[HR_Analytics].[StandardHours].[All]" dimensionUniqueName="[HR_Analytics]" displayFolder="" count="0" memberValueDatatype="20" unbalanced="0"/>
    <cacheHierarchy uniqueName="[HR_Analytics].[StockOptionLevel]" caption="StockOptionLevel" attribute="1" defaultMemberUniqueName="[HR_Analytics].[StockOptionLevel].[All]" allUniqueName="[HR_Analytics].[StockOptionLevel].[All]" dimensionUniqueName="[HR_Analytics]" displayFolder="" count="0" memberValueDatatype="20" unbalanced="0"/>
    <cacheHierarchy uniqueName="[HR_Analytics].[TotalWorkingYears]" caption="TotalWorkingYears" attribute="1" defaultMemberUniqueName="[HR_Analytics].[TotalWorkingYears].[All]" allUniqueName="[HR_Analytics].[TotalWorkingYears].[All]" dimensionUniqueName="[HR_Analytics]" displayFolder="" count="0" memberValueDatatype="20" unbalanced="0"/>
    <cacheHierarchy uniqueName="[HR_Analytics].[TrainingTimesLastYear]" caption="TrainingTimesLastYear" attribute="1" defaultMemberUniqueName="[HR_Analytics].[TrainingTimesLastYear].[All]" allUniqueName="[HR_Analytics].[TrainingTimesLastYear].[All]" dimensionUniqueName="[HR_Analytics]" displayFolder="" count="0" memberValueDatatype="20" unbalanced="0"/>
    <cacheHierarchy uniqueName="[HR_Analytics].[WorkLifeBalance]" caption="WorkLifeBalance" attribute="1" defaultMemberUniqueName="[HR_Analytics].[WorkLifeBalance].[All]" allUniqueName="[HR_Analytics].[WorkLifeBalance].[All]" dimensionUniqueName="[HR_Analytics]" displayFolder="" count="0" memberValueDatatype="20" unbalanced="0"/>
    <cacheHierarchy uniqueName="[HR_Analytics].[YearsAtCompany]" caption="YearsAtCompany" attribute="1" defaultMemberUniqueName="[HR_Analytics].[YearsAtCompany].[All]" allUniqueName="[HR_Analytics].[YearsAtCompany].[All]" dimensionUniqueName="[HR_Analytics]" displayFolder="" count="0" memberValueDatatype="20" unbalanced="0"/>
    <cacheHierarchy uniqueName="[HR_Analytics].[YearsInCurrentRole]" caption="YearsInCurrentRole" attribute="1" defaultMemberUniqueName="[HR_Analytics].[YearsInCurrentRole].[All]" allUniqueName="[HR_Analytics].[YearsInCurrentRole].[All]" dimensionUniqueName="[HR_Analytics]" displayFolder="" count="0" memberValueDatatype="20" unbalanced="0"/>
    <cacheHierarchy uniqueName="[HR_Analytics].[YearsSinceLastPromotion]" caption="YearsSinceLastPromotion" attribute="1" defaultMemberUniqueName="[HR_Analytics].[YearsSinceLastPromotion].[All]" allUniqueName="[HR_Analytics].[YearsSinceLastPromotion].[All]" dimensionUniqueName="[HR_Analytics]" displayFolder="" count="0" memberValueDatatype="20" unbalanced="0"/>
    <cacheHierarchy uniqueName="[HR_Analytics].[YearsWithCurrManager]" caption="YearsWithCurrManager" attribute="1" defaultMemberUniqueName="[HR_Analytics].[YearsWithCurrManager].[All]" allUniqueName="[HR_Analytics].[YearsWithCurrManager].[All]" dimensionUniqueName="[HR_Analytics]" displayFolder="" count="0" memberValueDatatype="5" unbalanced="0"/>
    <cacheHierarchy uniqueName="[Table1].[Column]" caption="Column" attribute="1" defaultMemberUniqueName="[Table1].[Column].[All]" allUniqueName="[Table1].[Column].[All]" dimensionUniqueName="[Table1]" displayFolder="" count="0" memberValueDatatype="130" unbalanced="0"/>
    <cacheHierarchy uniqueName="[Table1].[المعنى بالعربي]" caption="المعنى بالعربي" attribute="1" defaultMemberUniqueName="[Table1].[المعنى بالعربي].[All]" allUniqueName="[Table1].[المعنى بالعربي].[All]" dimensionUniqueName="[Table1]" displayFolder="" count="0" memberValueDatatype="130" unbalanced="0"/>
    <cacheHierarchy uniqueName="[Measures].[Total Employess]" caption="Total Employess" measure="1" displayFolder="" measureGroup="HR_Analytics" count="0"/>
    <cacheHierarchy uniqueName="[Measures].[Attrition Rate]" caption="Attrition Rate" measure="1" displayFolder="" measureGroup="HR_Analytics" count="0"/>
    <cacheHierarchy uniqueName="[Measures].[Overtime Rate]" caption="Overtime Rate" measure="1" displayFolder="" measureGroup="HR_Analytics" count="0"/>
    <cacheHierarchy uniqueName="[Measures].[Stasfaction Score]" caption="Stasfaction Score" measure="1" displayFolder="" measureGroup="HR_Analytics" count="0"/>
    <cacheHierarchy uniqueName="[Measures].[Monthly Income]" caption="Monthly Income" measure="1" displayFolder="" measureGroup="HR_Analytics" count="0"/>
    <cacheHierarchy uniqueName="[Measures].[__XL_Count Table1]" caption="__XL_Count Table1" measure="1" displayFolder="" measureGroup="Table1" count="0" hidden="1"/>
    <cacheHierarchy uniqueName="[Measures].[__XL_Count HR_Analytics]" caption="__XL_Count HR_Analytics" measure="1" displayFolder="" measureGroup="HR_Analytic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929277959"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8D73BF5-D858-49C7-B70F-E873B8CC714A}" name="Monthiy income By Dept" cacheId="1008"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20">
  <location ref="N1:O5" firstHeaderRow="1" firstDataRow="1" firstDataCol="1"/>
  <pivotFields count="2">
    <pivotField dataField="1" subtotalTop="0" showAll="0" defaultSubtotal="0"/>
    <pivotField axis="axisRow" allDrilled="1" subtotalTop="0" showAll="0" dataSourceSort="1" defaultSubtotal="0" defaultAttributeDrillState="1">
      <items count="3">
        <item x="0"/>
        <item x="1"/>
        <item x="2"/>
      </items>
    </pivotField>
  </pivotFields>
  <rowFields count="1">
    <field x="1"/>
  </rowFields>
  <rowItems count="4">
    <i>
      <x/>
    </i>
    <i>
      <x v="1"/>
    </i>
    <i>
      <x v="2"/>
    </i>
    <i t="grand">
      <x/>
    </i>
  </rowItems>
  <colItems count="1">
    <i/>
  </colItems>
  <dataFields count="1">
    <dataField fld="0" subtotal="count" baseField="0" baseItem="0" numFmtId="1"/>
  </dataFields>
  <formats count="3">
    <format dxfId="345">
      <pivotArea type="all" dataOnly="0" outline="0" fieldPosition="0"/>
    </format>
    <format dxfId="344">
      <pivotArea dataOnly="0" labelOnly="1" outline="0" axis="axisValues" fieldPosition="0"/>
    </format>
    <format dxfId="343">
      <pivotArea outline="0" collapsedLevelsAreSubtotals="1" fieldPosition="0"/>
    </format>
  </formats>
  <chartFormats count="6">
    <chartFormat chart="15" format="19" series="1">
      <pivotArea type="data" outline="0" fieldPosition="0">
        <references count="1">
          <reference field="4294967294" count="1" selected="0">
            <x v="0"/>
          </reference>
        </references>
      </pivotArea>
    </chartFormat>
    <chartFormat chart="15" format="20">
      <pivotArea type="data" outline="0" fieldPosition="0">
        <references count="2">
          <reference field="4294967294" count="1" selected="0">
            <x v="0"/>
          </reference>
          <reference field="1" count="1" selected="0">
            <x v="0"/>
          </reference>
        </references>
      </pivotArea>
    </chartFormat>
    <chartFormat chart="19" format="19" series="1">
      <pivotArea type="data" outline="0" fieldPosition="0">
        <references count="1">
          <reference field="4294967294" count="1" selected="0">
            <x v="0"/>
          </reference>
        </references>
      </pivotArea>
    </chartFormat>
    <chartFormat chart="19" format="20">
      <pivotArea type="data" outline="0" fieldPosition="0">
        <references count="2">
          <reference field="4294967294" count="1" selected="0">
            <x v="0"/>
          </reference>
          <reference field="1" count="1" selected="0">
            <x v="0"/>
          </reference>
        </references>
      </pivotArea>
    </chartFormat>
    <chartFormat chart="19" format="21">
      <pivotArea type="data" outline="0" fieldPosition="0">
        <references count="2">
          <reference field="4294967294" count="1" selected="0">
            <x v="0"/>
          </reference>
          <reference field="1" count="1" selected="0">
            <x v="1"/>
          </reference>
        </references>
      </pivotArea>
    </chartFormat>
    <chartFormat chart="19" format="22">
      <pivotArea type="data" outline="0" fieldPosition="0">
        <references count="2">
          <reference field="4294967294" count="1" selected="0">
            <x v="0"/>
          </reference>
          <reference field="1" count="1" selected="0">
            <x v="2"/>
          </reference>
        </references>
      </pivotArea>
    </chartFormat>
  </chartFormats>
  <pivotHierarchies count="56">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x15:activeTabTopLevelEntity name="[HR_Analytic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0DF28B9-4EFC-4D76-87A9-8AD47CA17FBA}" name="Total Employess" cacheId="1025"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1:A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56">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x15:activeTabTopLevelEntity name="[HR_Analytic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071789-A3B2-418D-8551-D80CF5B0D900}" name="Stasfaction Score" cacheId="102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G1:G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2"/>
  </dataFields>
  <formats count="3">
    <format dxfId="348">
      <pivotArea type="all" dataOnly="0" outline="0" fieldPosition="0"/>
    </format>
    <format dxfId="347">
      <pivotArea outline="0" collapsedLevelsAreSubtotals="1" fieldPosition="0"/>
    </format>
    <format dxfId="346">
      <pivotArea dataOnly="0" labelOnly="1" outline="0" axis="axisValues" fieldPosition="0"/>
    </format>
  </formats>
  <pivotHierarchies count="56">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x15:activeTabTopLevelEntity name="[HR_Analytic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5806729-317A-4957-B112-8178D2FD09B0}" name="Emp_AgeGroup_Count" cacheId="1035"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7">
  <location ref="AE1:AF45" firstHeaderRow="1" firstDataRow="1" firstDataCol="1"/>
  <pivotFields count="3">
    <pivotField dataField="1" subtotalTop="0" showAll="0" defaultSubtotal="0"/>
    <pivotField axis="axisRow" allDrilled="1" subtotalTop="0" showAll="0" dataSourceSort="1" defaultSubtotal="0" defaultAttributeDrillState="1">
      <items count="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s>
    </pivotField>
    <pivotField allDrilled="1" subtotalTop="0" showAll="0" dataSourceSort="1" defaultSubtotal="0" defaultAttributeDrillState="1"/>
  </pivotFields>
  <rowFields count="1">
    <field x="1"/>
  </rowFields>
  <rowItems count="4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t="grand">
      <x/>
    </i>
  </rowItems>
  <colItems count="1">
    <i/>
  </colItems>
  <dataFields count="1">
    <dataField fld="0" subtotal="count" baseField="0" baseItem="0"/>
  </dataFields>
  <formats count="1">
    <format dxfId="349">
      <pivotArea outline="0" collapsedLevelsAreSubtotals="1" fieldPosition="0"/>
    </format>
  </formats>
  <chartFormats count="1">
    <chartFormat chart="6" format="4" series="1">
      <pivotArea type="data" outline="0" fieldPosition="0">
        <references count="1">
          <reference field="4294967294" count="1" selected="0">
            <x v="0"/>
          </reference>
        </references>
      </pivotArea>
    </chartFormat>
  </chartFormats>
  <pivotHierarchies count="56">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x15:activeTabTopLevelEntity name="[HR_Analytic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D8F5DCC-39E6-45E2-8EBA-A24BA46B0FAF}" name="Emp_AgeGroup_Attr" cacheId="1037"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3">
  <location ref="AH1:AI41" firstHeaderRow="1" firstDataRow="1" firstDataCol="1"/>
  <pivotFields count="3">
    <pivotField dataField="1" subtotalTop="0" showAll="0" defaultSubtotal="0"/>
    <pivotField axis="axisRow" allDrilled="1" subtotalTop="0" showAll="0" dataSourceSort="1" defaultSubtotal="0" defaultAttributeDrillState="1">
      <items count="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s>
    </pivotField>
    <pivotField allDrilled="1" subtotalTop="0" showAll="0" dataSourceSort="1" defaultSubtotal="0" defaultAttributeDrillState="1"/>
  </pivotFields>
  <rowFields count="1">
    <field x="1"/>
  </rowFields>
  <rowItems count="4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t="grand">
      <x/>
    </i>
  </rowItems>
  <colItems count="1">
    <i/>
  </colItems>
  <dataFields count="1">
    <dataField fld="0" subtotal="count" baseField="0" baseItem="0" numFmtId="9"/>
  </dataFields>
  <formats count="1">
    <format dxfId="350">
      <pivotArea outline="0" collapsedLevelsAreSubtotals="1" fieldPosition="0"/>
    </format>
  </formats>
  <chartFormats count="1">
    <chartFormat chart="12" format="8" series="1">
      <pivotArea type="data" outline="0" fieldPosition="0">
        <references count="1">
          <reference field="4294967294" count="1" selected="0">
            <x v="0"/>
          </reference>
        </references>
      </pivotArea>
    </chartFormat>
  </chartFormats>
  <pivotHierarchies count="56">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x15:activeTabTopLevelEntity name="[HR_Analytic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FA9C7FC-4B44-4860-B327-D3976418067D}" name="Attrition Rate by joprole" cacheId="101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3">
  <location ref="K1:L11" firstHeaderRow="1" firstDataRow="1" firstDataCol="1"/>
  <pivotFields count="3">
    <pivotField dataField="1" subtotalTop="0" showAll="0" defaultSubtotal="0"/>
    <pivotField axis="axisRow" allDrilled="1" subtotalTop="0" showAll="0" dataSourceSort="1" defaultSubtotal="0" defaultAttributeDrillState="1">
      <items count="9">
        <item x="0"/>
        <item x="1"/>
        <item x="2"/>
        <item x="3"/>
        <item x="4"/>
        <item x="5"/>
        <item x="6"/>
        <item x="7"/>
        <item x="8"/>
      </items>
    </pivotField>
    <pivotField allDrilled="1" subtotalTop="0" showAll="0" dataSourceSort="1" defaultSubtotal="0" defaultAttributeDrillState="1"/>
  </pivotFields>
  <rowFields count="1">
    <field x="1"/>
  </rowFields>
  <rowItems count="10">
    <i>
      <x/>
    </i>
    <i>
      <x v="1"/>
    </i>
    <i>
      <x v="2"/>
    </i>
    <i>
      <x v="3"/>
    </i>
    <i>
      <x v="4"/>
    </i>
    <i>
      <x v="5"/>
    </i>
    <i>
      <x v="6"/>
    </i>
    <i>
      <x v="7"/>
    </i>
    <i>
      <x v="8"/>
    </i>
    <i t="grand">
      <x/>
    </i>
  </rowItems>
  <colItems count="1">
    <i/>
  </colItems>
  <dataFields count="1">
    <dataField fld="0" subtotal="count" baseField="0" baseItem="0" numFmtId="9"/>
  </dataFields>
  <formats count="3">
    <format dxfId="353">
      <pivotArea outline="0" collapsedLevelsAreSubtotals="1" fieldPosition="0"/>
    </format>
    <format dxfId="352">
      <pivotArea outline="0" collapsedLevelsAreSubtotals="1" fieldPosition="0"/>
    </format>
    <format dxfId="351">
      <pivotArea dataOnly="0" labelOnly="1" outline="0" axis="axisValues" fieldPosition="0"/>
    </format>
  </formats>
  <chartFormats count="3">
    <chartFormat chart="8" format="4" series="1">
      <pivotArea type="data" outline="0" fieldPosition="0">
        <references count="1">
          <reference field="4294967294" count="1" selected="0">
            <x v="0"/>
          </reference>
        </references>
      </pivotArea>
    </chartFormat>
    <chartFormat chart="12" format="4" series="1">
      <pivotArea type="data" outline="0" fieldPosition="0">
        <references count="1">
          <reference field="4294967294" count="1" selected="0">
            <x v="0"/>
          </reference>
        </references>
      </pivotArea>
    </chartFormat>
    <chartFormat chart="12" format="5">
      <pivotArea type="data" outline="0" fieldPosition="0">
        <references count="2">
          <reference field="4294967294" count="1" selected="0">
            <x v="0"/>
          </reference>
          <reference field="1" count="1" selected="0">
            <x v="8"/>
          </reference>
        </references>
      </pivotArea>
    </chartFormat>
  </chartFormats>
  <pivotHierarchies count="56">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x15:activeTabTopLevelEntity name="[HR_Analytic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6547917-4BA3-4E59-971D-9A32FC9D291C}" name="Overtime Rate by jop role" cacheId="1018"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Q1:R11" firstHeaderRow="1" firstDataRow="1" firstDataCol="1"/>
  <pivotFields count="3">
    <pivotField axis="axisRow" allDrilled="1" subtotalTop="0" showAll="0" dataSourceSort="1" defaultSubtotal="0" defaultAttributeDrillState="1">
      <items count="9">
        <item x="0"/>
        <item x="1"/>
        <item x="2"/>
        <item x="3"/>
        <item x="4"/>
        <item x="5"/>
        <item x="6"/>
        <item x="7"/>
        <item x="8"/>
      </items>
    </pivotField>
    <pivotField dataField="1" subtotalTop="0" showAll="0" defaultSubtotal="0"/>
    <pivotField allDrilled="1" subtotalTop="0" showAll="0" dataSourceSort="1" defaultSubtotal="0" defaultAttributeDrillState="1"/>
  </pivotFields>
  <rowFields count="1">
    <field x="0"/>
  </rowFields>
  <rowItems count="10">
    <i>
      <x/>
    </i>
    <i>
      <x v="1"/>
    </i>
    <i>
      <x v="2"/>
    </i>
    <i>
      <x v="3"/>
    </i>
    <i>
      <x v="4"/>
    </i>
    <i>
      <x v="5"/>
    </i>
    <i>
      <x v="6"/>
    </i>
    <i>
      <x v="7"/>
    </i>
    <i>
      <x v="8"/>
    </i>
    <i t="grand">
      <x/>
    </i>
  </rowItems>
  <colItems count="1">
    <i/>
  </colItems>
  <dataFields count="1">
    <dataField fld="1" subtotal="count" baseField="0" baseItem="0"/>
  </dataFields>
  <formats count="3">
    <format dxfId="356">
      <pivotArea outline="0" collapsedLevelsAreSubtotals="1" fieldPosition="0"/>
    </format>
    <format dxfId="355">
      <pivotArea outline="0" collapsedLevelsAreSubtotals="1" fieldPosition="0"/>
    </format>
    <format dxfId="354">
      <pivotArea dataOnly="0" labelOnly="1" outline="0" axis="axisValues" fieldPosition="0"/>
    </format>
  </formats>
  <pivotHierarchies count="56">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x15:activeTabTopLevelEntity name="[HR_Analytic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9196D4E-AD6B-4E39-B40D-791B9233EC44}" name="Overtime Rate" cacheId="101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E1:E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9"/>
  </dataFields>
  <formats count="1">
    <format dxfId="357">
      <pivotArea outline="0" collapsedLevelsAreSubtotals="1" fieldPosition="0"/>
    </format>
  </formats>
  <pivotHierarchies count="56">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x15:activeTabTopLevelEntity name="[HR_Analytic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C46D496-DA22-4626-85A1-98B632FBD815}" name="Dept_Sat" cacheId="1055"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4">
  <location ref="BG1:BI5" firstHeaderRow="0" firstDataRow="1" firstDataCol="1"/>
  <pivotFields count="3">
    <pivotField axis="axisRow" allDrilled="1" subtotalTop="0" showAll="0" dataSourceSort="1" defaultSubtotal="0" defaultAttributeDrillState="1">
      <items count="3">
        <item x="0"/>
        <item x="1"/>
        <item x="2"/>
      </items>
    </pivotField>
    <pivotField dataField="1" subtotalTop="0" showAll="0" defaultSubtotal="0"/>
    <pivotField dataField="1" subtotalTop="0" showAll="0" defaultSubtotal="0"/>
  </pivotFields>
  <rowFields count="1">
    <field x="0"/>
  </rowFields>
  <rowItems count="4">
    <i>
      <x/>
    </i>
    <i>
      <x v="1"/>
    </i>
    <i>
      <x v="2"/>
    </i>
    <i t="grand">
      <x/>
    </i>
  </rowItems>
  <colFields count="1">
    <field x="-2"/>
  </colFields>
  <colItems count="2">
    <i>
      <x/>
    </i>
    <i i="1">
      <x v="1"/>
    </i>
  </colItems>
  <dataFields count="2">
    <dataField fld="1" subtotal="count" baseField="0" baseItem="0"/>
    <dataField fld="2" subtotal="count" baseField="0" baseItem="0"/>
  </dataFields>
  <formats count="3">
    <format dxfId="360">
      <pivotArea type="all" dataOnly="0" outline="0" fieldPosition="0"/>
    </format>
    <format dxfId="359">
      <pivotArea outline="0" collapsedLevelsAreSubtotals="1" fieldPosition="0"/>
    </format>
    <format dxfId="358">
      <pivotArea dataOnly="0" labelOnly="1" outline="0" axis="axisValues" fieldPosition="0"/>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Hierarchies count="56">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x15:activeTabTopLevelEntity name="[HR_Analytic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96C79C1-129D-4124-AA0A-FFF7830D9C80}" name="Dept_Attr" cacheId="104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6">
  <location ref="AT1:AU5" firstHeaderRow="1" firstDataRow="1" firstDataCol="1"/>
  <pivotFields count="2">
    <pivotField dataField="1" subtotalTop="0" showAll="0" defaultSubtotal="0"/>
    <pivotField axis="axisRow" allDrilled="1" subtotalTop="0" showAll="0" dataSourceSort="1" defaultSubtotal="0" defaultAttributeDrillState="1">
      <items count="3">
        <item x="0"/>
        <item x="1"/>
        <item x="2"/>
      </items>
    </pivotField>
  </pivotFields>
  <rowFields count="1">
    <field x="1"/>
  </rowFields>
  <rowItems count="4">
    <i>
      <x/>
    </i>
    <i>
      <x v="1"/>
    </i>
    <i>
      <x v="2"/>
    </i>
    <i t="grand">
      <x/>
    </i>
  </rowItems>
  <colItems count="1">
    <i/>
  </colItems>
  <dataFields count="1">
    <dataField name="Count of Attrition" fld="0" subtotal="count" baseField="0" baseItem="0"/>
  </dataFields>
  <formats count="3">
    <format dxfId="363">
      <pivotArea type="all" dataOnly="0" outline="0" fieldPosition="0"/>
    </format>
    <format dxfId="362">
      <pivotArea outline="0" collapsedLevelsAreSubtotals="1" fieldPosition="0"/>
    </format>
    <format dxfId="361">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0"/>
          </reference>
        </references>
      </pivotArea>
    </chartFormat>
  </chartFormats>
  <pivotHierarchies count="56">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x15:activeTabTopLevelEntity name="[HR_Analytic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83758A61-93E4-4C4C-8561-3E478089ED19}" name="Avg Tenure" cacheId="1029"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Y1:Y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formats count="1">
    <format dxfId="364">
      <pivotArea outline="0" collapsedLevelsAreSubtotals="1" fieldPosition="0"/>
    </format>
  </formats>
  <pivotHierarchies count="56">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x15:activeTabTopLevelEntity name="[HR_Analytic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D853BCDE-A352-4410-A5A3-77A41186E826}" name="Avg Age" cacheId="1027"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W1:W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164"/>
  </dataFields>
  <formats count="1">
    <format dxfId="365">
      <pivotArea outline="0" collapsedLevelsAreSubtotals="1" fieldPosition="0"/>
    </format>
  </formats>
  <pivotHierarchies count="56">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x15:activeTabTopLevelEntity name="[HR_Analytic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CCC626D7-ED16-4E66-838C-539E63E4116E}" name="Emp_JobLevel_Income" cacheId="1039"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7">
  <location ref="AK1:AL7" firstHeaderRow="1" firstDataRow="1" firstDataCol="1"/>
  <pivotFields count="3">
    <pivotField dataField="1" subtotalTop="0" showAll="0" defaultSubtotal="0"/>
    <pivotField axis="axisRow" allDrilled="1" subtotalTop="0" showAll="0" dataSourceSort="1" defaultSubtotal="0" defaultAttributeDrillState="1">
      <items count="5">
        <item x="0"/>
        <item x="1"/>
        <item x="2"/>
        <item x="3"/>
        <item x="4"/>
      </items>
    </pivotField>
    <pivotField allDrilled="1" subtotalTop="0" showAll="0" dataSourceSort="1" defaultSubtotal="0" defaultAttributeDrillState="1"/>
  </pivotFields>
  <rowFields count="1">
    <field x="1"/>
  </rowFields>
  <rowItems count="6">
    <i>
      <x/>
    </i>
    <i>
      <x v="1"/>
    </i>
    <i>
      <x v="2"/>
    </i>
    <i>
      <x v="3"/>
    </i>
    <i>
      <x v="4"/>
    </i>
    <i t="grand">
      <x/>
    </i>
  </rowItems>
  <colItems count="1">
    <i/>
  </colItems>
  <dataFields count="1">
    <dataField fld="0" subtotal="count" baseField="0" baseItem="0"/>
  </dataFields>
  <formats count="1">
    <format dxfId="366">
      <pivotArea outline="0" collapsedLevelsAreSubtotals="1" fieldPosition="0"/>
    </format>
  </formats>
  <chartFormats count="1">
    <chartFormat chart="6" format="4" series="1">
      <pivotArea type="data" outline="0" fieldPosition="0">
        <references count="1">
          <reference field="4294967294" count="1" selected="0">
            <x v="0"/>
          </reference>
        </references>
      </pivotArea>
    </chartFormat>
  </chartFormats>
  <pivotHierarchies count="56">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x15:activeTabTopLevelEntity name="[HR_Analytic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1B4F93BA-CB70-4447-900A-2677C02B47CF}" name="Stasfaction Score dept" cacheId="102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T1:U5" firstHeaderRow="1" firstDataRow="1" firstDataCol="1"/>
  <pivotFields count="2">
    <pivotField axis="axisRow" allDrilled="1" subtotalTop="0" showAll="0" dataSourceSort="1" defaultSubtotal="0" defaultAttributeDrillState="1">
      <items count="3">
        <item x="0"/>
        <item x="1"/>
        <item x="2"/>
      </items>
    </pivotField>
    <pivotField dataField="1" subtotalTop="0" showAll="0" defaultSubtotal="0"/>
  </pivotFields>
  <rowFields count="1">
    <field x="0"/>
  </rowFields>
  <rowItems count="4">
    <i>
      <x/>
    </i>
    <i>
      <x v="1"/>
    </i>
    <i>
      <x v="2"/>
    </i>
    <i t="grand">
      <x/>
    </i>
  </rowItems>
  <colItems count="1">
    <i/>
  </colItems>
  <dataFields count="1">
    <dataField fld="1" subtotal="count" baseField="0" baseItem="0"/>
  </dataFields>
  <formats count="4">
    <format dxfId="370">
      <pivotArea type="all" dataOnly="0" outline="0" fieldPosition="0"/>
    </format>
    <format dxfId="369">
      <pivotArea outline="0" collapsedLevelsAreSubtotals="1" fieldPosition="0"/>
    </format>
    <format dxfId="368">
      <pivotArea collapsedLevelsAreSubtotals="1" fieldPosition="0">
        <references count="1">
          <reference field="0" count="0"/>
        </references>
      </pivotArea>
    </format>
    <format dxfId="367">
      <pivotArea dataOnly="0" labelOnly="1" outline="0" axis="axisValues" fieldPosition="0"/>
    </format>
  </formats>
  <pivotHierarchies count="56">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x15:activeTabTopLevelEntity name="[HR_Analytic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8EA92FCC-4062-4546-B7D4-7DD0D01A238F}" name="Avg WLB" cacheId="103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C1:AC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formats count="1">
    <format dxfId="371">
      <pivotArea outline="0" collapsedLevelsAreSubtotals="1" fieldPosition="0"/>
    </format>
  </formats>
  <pivotHierarchies count="56">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x15:activeTabTopLevelEntity name="[HR_Analytic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32037EC7-12A1-451E-AB76-AFE981960480}" name="Attrition Rate" cacheId="101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C1:C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9"/>
  </dataFields>
  <formats count="1">
    <format dxfId="372">
      <pivotArea outline="0" collapsedLevelsAreSubtotals="1" fieldPosition="0"/>
    </format>
  </formats>
  <pivotHierarchies count="56">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x15:activeTabTopLevelEntity name="[HR_Analytic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43362357-530A-480C-84FC-9E1AC997E094}" name="Avg Env Sat" cacheId="103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A1:AA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formats count="1">
    <format dxfId="373">
      <pivotArea outline="0" collapsedLevelsAreSubtotals="1" fieldPosition="0"/>
    </format>
  </formats>
  <pivotHierarchies count="56">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x15:activeTabTopLevelEntity name="[HR_Analytic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B6FF35A8-2EB8-4410-A3C7-06D79A64BD62}" name="Monthly Income" cacheId="101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I1:I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1"/>
  </dataFields>
  <formats count="3">
    <format dxfId="376">
      <pivotArea type="all" dataOnly="0" outline="0" fieldPosition="0"/>
    </format>
    <format dxfId="375">
      <pivotArea dataOnly="0" labelOnly="1" outline="0" axis="axisValues" fieldPosition="0"/>
    </format>
    <format dxfId="374">
      <pivotArea outline="0" collapsedLevelsAreSubtotals="1" fieldPosition="0"/>
    </format>
  </formats>
  <pivotHierarchies count="56">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x15:activeTabTopLevelEntity name="[HR_Analytic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41F297E8-36CF-42AB-8338-EF3BC331CE77}" name="Dept_OT" cacheId="1049"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5">
  <location ref="AW1:AX5" firstHeaderRow="1" firstDataRow="1" firstDataCol="1"/>
  <pivotFields count="2">
    <pivotField axis="axisRow" allDrilled="1" subtotalTop="0" showAll="0" dataSourceSort="1" defaultSubtotal="0" defaultAttributeDrillState="1">
      <items count="3">
        <item x="0"/>
        <item x="1"/>
        <item x="2"/>
      </items>
    </pivotField>
    <pivotField dataField="1" subtotalTop="0" showAll="0" defaultSubtotal="0"/>
  </pivotFields>
  <rowFields count="1">
    <field x="0"/>
  </rowFields>
  <rowItems count="4">
    <i>
      <x/>
    </i>
    <i>
      <x v="1"/>
    </i>
    <i>
      <x v="2"/>
    </i>
    <i t="grand">
      <x/>
    </i>
  </rowItems>
  <colItems count="1">
    <i/>
  </colItems>
  <dataFields count="1">
    <dataField name="Count of OverTime" fld="1" subtotal="count" baseField="0" baseItem="0"/>
  </dataFields>
  <formats count="3">
    <format dxfId="379">
      <pivotArea type="all" dataOnly="0" outline="0" fieldPosition="0"/>
    </format>
    <format dxfId="378">
      <pivotArea outline="0" collapsedLevelsAreSubtotals="1" fieldPosition="0"/>
    </format>
    <format dxfId="377">
      <pivotArea dataOnly="0" labelOnly="1" outline="0" axis="axisValues" fieldPosition="0"/>
    </format>
  </formats>
  <chartFormats count="5">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0" count="1" selected="0">
            <x v="0"/>
          </reference>
        </references>
      </pivotArea>
    </chartFormat>
    <chartFormat chart="3" format="4">
      <pivotArea type="data" outline="0" fieldPosition="0">
        <references count="2">
          <reference field="4294967294" count="1" selected="0">
            <x v="0"/>
          </reference>
          <reference field="0" count="1" selected="0">
            <x v="2"/>
          </reference>
        </references>
      </pivotArea>
    </chartFormat>
    <chartFormat chart="3" format="5">
      <pivotArea type="data" outline="0" fieldPosition="0">
        <references count="2">
          <reference field="4294967294" count="1" selected="0">
            <x v="0"/>
          </reference>
          <reference field="0" count="1" selected="0">
            <x v="1"/>
          </reference>
        </references>
      </pivotArea>
    </chartFormat>
  </chartFormats>
  <pivotHierarchies count="56">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x15:activeTabTopLevelEntity name="[HR_Analytic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A01C52D9-E248-4A22-9642-5CEF6423A9DF}" name="Dept_Income_Slab" cacheId="105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0">
  <location ref="AZ1:BE6" firstHeaderRow="1" firstDataRow="2" firstDataCol="1"/>
  <pivotFields count="3">
    <pivotField axis="axisCol" allDrilled="1" subtotalTop="0" showAll="0" dataSourceSort="1" defaultSubtotal="0" defaultAttributeDrillState="1">
      <items count="4">
        <item x="0"/>
        <item x="1"/>
        <item x="2"/>
        <item x="3"/>
      </items>
    </pivotField>
    <pivotField dataField="1" subtotalTop="0" showAll="0" defaultSubtotal="0"/>
    <pivotField axis="axisRow" allDrilled="1" subtotalTop="0" showAll="0" dataSourceSort="1" defaultSubtotal="0" defaultAttributeDrillState="1">
      <items count="3">
        <item x="0"/>
        <item x="1"/>
        <item x="2"/>
      </items>
    </pivotField>
  </pivotFields>
  <rowFields count="1">
    <field x="2"/>
  </rowFields>
  <rowItems count="4">
    <i>
      <x/>
    </i>
    <i>
      <x v="1"/>
    </i>
    <i>
      <x v="2"/>
    </i>
    <i t="grand">
      <x/>
    </i>
  </rowItems>
  <colFields count="1">
    <field x="0"/>
  </colFields>
  <colItems count="5">
    <i>
      <x/>
    </i>
    <i>
      <x v="1"/>
    </i>
    <i>
      <x v="2"/>
    </i>
    <i>
      <x v="3"/>
    </i>
    <i t="grand">
      <x/>
    </i>
  </colItems>
  <dataFields count="1">
    <dataField name="Sum of MonthlyIncome" fld="1" baseField="0" baseItem="0"/>
  </dataFields>
  <formats count="3">
    <format dxfId="382">
      <pivotArea type="all" dataOnly="0" outline="0" fieldPosition="0"/>
    </format>
    <format dxfId="381">
      <pivotArea outline="0" collapsedLevelsAreSubtotals="1" fieldPosition="0"/>
    </format>
    <format dxfId="380">
      <pivotArea dataOnly="0" labelOnly="1" outline="0" axis="axisValues" fieldPosition="0"/>
    </format>
  </formats>
  <chartFormats count="36">
    <chartFormat chart="0" format="4" series="1">
      <pivotArea type="data" outline="0" fieldPosition="0">
        <references count="1">
          <reference field="0" count="1" selected="0">
            <x v="0"/>
          </reference>
        </references>
      </pivotArea>
    </chartFormat>
    <chartFormat chart="0" format="5" series="1">
      <pivotArea type="data" outline="0" fieldPosition="0">
        <references count="1">
          <reference field="0" count="1" selected="0">
            <x v="1"/>
          </reference>
        </references>
      </pivotArea>
    </chartFormat>
    <chartFormat chart="0" format="6" series="1">
      <pivotArea type="data" outline="0" fieldPosition="0">
        <references count="1">
          <reference field="0" count="1" selected="0">
            <x v="2"/>
          </reference>
        </references>
      </pivotArea>
    </chartFormat>
    <chartFormat chart="0" format="7" series="1">
      <pivotArea type="data" outline="0" fieldPosition="0">
        <references count="1">
          <reference field="0" count="1" selected="0">
            <x v="3"/>
          </reference>
        </references>
      </pivotArea>
    </chartFormat>
    <chartFormat chart="3" format="12" series="1">
      <pivotArea type="data" outline="0" fieldPosition="0">
        <references count="1">
          <reference field="0" count="1" selected="0">
            <x v="0"/>
          </reference>
        </references>
      </pivotArea>
    </chartFormat>
    <chartFormat chart="3" format="13" series="1">
      <pivotArea type="data" outline="0" fieldPosition="0">
        <references count="1">
          <reference field="0" count="1" selected="0">
            <x v="1"/>
          </reference>
        </references>
      </pivotArea>
    </chartFormat>
    <chartFormat chart="3" format="14" series="1">
      <pivotArea type="data" outline="0" fieldPosition="0">
        <references count="1">
          <reference field="0" count="1" selected="0">
            <x v="2"/>
          </reference>
        </references>
      </pivotArea>
    </chartFormat>
    <chartFormat chart="3" format="15" series="1">
      <pivotArea type="data" outline="0" fieldPosition="0">
        <references count="1">
          <reference field="0" count="1" selected="0">
            <x v="3"/>
          </reference>
        </references>
      </pivotArea>
    </chartFormat>
    <chartFormat chart="5" format="20" series="1">
      <pivotArea type="data" outline="0" fieldPosition="0">
        <references count="1">
          <reference field="0" count="1" selected="0">
            <x v="0"/>
          </reference>
        </references>
      </pivotArea>
    </chartFormat>
    <chartFormat chart="5" format="21" series="1">
      <pivotArea type="data" outline="0" fieldPosition="0">
        <references count="1">
          <reference field="0" count="1" selected="0">
            <x v="1"/>
          </reference>
        </references>
      </pivotArea>
    </chartFormat>
    <chartFormat chart="5" format="22" series="1">
      <pivotArea type="data" outline="0" fieldPosition="0">
        <references count="1">
          <reference field="0" count="1" selected="0">
            <x v="2"/>
          </reference>
        </references>
      </pivotArea>
    </chartFormat>
    <chartFormat chart="5" format="23" series="1">
      <pivotArea type="data" outline="0" fieldPosition="0">
        <references count="1">
          <reference field="0" count="1" selected="0">
            <x v="3"/>
          </reference>
        </references>
      </pivotArea>
    </chartFormat>
    <chartFormat chart="5" format="24" series="1">
      <pivotArea type="data" outline="0" fieldPosition="0">
        <references count="2">
          <reference field="4294967294" count="1" selected="0">
            <x v="0"/>
          </reference>
          <reference field="0" count="1" selected="0">
            <x v="0"/>
          </reference>
        </references>
      </pivotArea>
    </chartFormat>
    <chartFormat chart="5" format="25" series="1">
      <pivotArea type="data" outline="0" fieldPosition="0">
        <references count="2">
          <reference field="4294967294" count="1" selected="0">
            <x v="0"/>
          </reference>
          <reference field="0" count="1" selected="0">
            <x v="1"/>
          </reference>
        </references>
      </pivotArea>
    </chartFormat>
    <chartFormat chart="5" format="26" series="1">
      <pivotArea type="data" outline="0" fieldPosition="0">
        <references count="2">
          <reference field="4294967294" count="1" selected="0">
            <x v="0"/>
          </reference>
          <reference field="0" count="1" selected="0">
            <x v="2"/>
          </reference>
        </references>
      </pivotArea>
    </chartFormat>
    <chartFormat chart="5" format="27" series="1">
      <pivotArea type="data" outline="0" fieldPosition="0">
        <references count="2">
          <reference field="4294967294" count="1" selected="0">
            <x v="0"/>
          </reference>
          <reference field="0" count="1" selected="0">
            <x v="3"/>
          </reference>
        </references>
      </pivotArea>
    </chartFormat>
    <chartFormat chart="3" format="16" series="1">
      <pivotArea type="data" outline="0" fieldPosition="0">
        <references count="2">
          <reference field="4294967294" count="1" selected="0">
            <x v="0"/>
          </reference>
          <reference field="0" count="1" selected="0">
            <x v="0"/>
          </reference>
        </references>
      </pivotArea>
    </chartFormat>
    <chartFormat chart="3" format="17" series="1">
      <pivotArea type="data" outline="0" fieldPosition="0">
        <references count="2">
          <reference field="4294967294" count="1" selected="0">
            <x v="0"/>
          </reference>
          <reference field="0" count="1" selected="0">
            <x v="1"/>
          </reference>
        </references>
      </pivotArea>
    </chartFormat>
    <chartFormat chart="3" format="18" series="1">
      <pivotArea type="data" outline="0" fieldPosition="0">
        <references count="2">
          <reference field="4294967294" count="1" selected="0">
            <x v="0"/>
          </reference>
          <reference field="0" count="1" selected="0">
            <x v="2"/>
          </reference>
        </references>
      </pivotArea>
    </chartFormat>
    <chartFormat chart="3" format="19" series="1">
      <pivotArea type="data" outline="0" fieldPosition="0">
        <references count="2">
          <reference field="4294967294" count="1" selected="0">
            <x v="0"/>
          </reference>
          <reference field="0" count="1" selected="0">
            <x v="3"/>
          </reference>
        </references>
      </pivotArea>
    </chartFormat>
    <chartFormat chart="0" format="8" series="1">
      <pivotArea type="data" outline="0" fieldPosition="0">
        <references count="2">
          <reference field="4294967294" count="1" selected="0">
            <x v="0"/>
          </reference>
          <reference field="0" count="1" selected="0">
            <x v="0"/>
          </reference>
        </references>
      </pivotArea>
    </chartFormat>
    <chartFormat chart="0" format="9" series="1">
      <pivotArea type="data" outline="0" fieldPosition="0">
        <references count="2">
          <reference field="4294967294" count="1" selected="0">
            <x v="0"/>
          </reference>
          <reference field="0" count="1" selected="0">
            <x v="1"/>
          </reference>
        </references>
      </pivotArea>
    </chartFormat>
    <chartFormat chart="0" format="10" series="1">
      <pivotArea type="data" outline="0" fieldPosition="0">
        <references count="2">
          <reference field="4294967294" count="1" selected="0">
            <x v="0"/>
          </reference>
          <reference field="0" count="1" selected="0">
            <x v="2"/>
          </reference>
        </references>
      </pivotArea>
    </chartFormat>
    <chartFormat chart="0" format="11" series="1">
      <pivotArea type="data" outline="0" fieldPosition="0">
        <references count="2">
          <reference field="4294967294" count="1" selected="0">
            <x v="0"/>
          </reference>
          <reference field="0" count="1" selected="0">
            <x v="3"/>
          </reference>
        </references>
      </pivotArea>
    </chartFormat>
    <chartFormat chart="6" format="0" series="1">
      <pivotArea type="data" outline="0" fieldPosition="0">
        <references count="2">
          <reference field="4294967294" count="1" selected="0">
            <x v="0"/>
          </reference>
          <reference field="0" count="1" selected="0">
            <x v="0"/>
          </reference>
        </references>
      </pivotArea>
    </chartFormat>
    <chartFormat chart="6" format="1" series="1">
      <pivotArea type="data" outline="0" fieldPosition="0">
        <references count="2">
          <reference field="4294967294" count="1" selected="0">
            <x v="0"/>
          </reference>
          <reference field="0" count="1" selected="0">
            <x v="1"/>
          </reference>
        </references>
      </pivotArea>
    </chartFormat>
    <chartFormat chart="6" format="2" series="1">
      <pivotArea type="data" outline="0" fieldPosition="0">
        <references count="2">
          <reference field="4294967294" count="1" selected="0">
            <x v="0"/>
          </reference>
          <reference field="0" count="1" selected="0">
            <x v="2"/>
          </reference>
        </references>
      </pivotArea>
    </chartFormat>
    <chartFormat chart="6" format="3" series="1">
      <pivotArea type="data" outline="0" fieldPosition="0">
        <references count="2">
          <reference field="4294967294" count="1" selected="0">
            <x v="0"/>
          </reference>
          <reference field="0" count="1" selected="0">
            <x v="3"/>
          </reference>
        </references>
      </pivotArea>
    </chartFormat>
    <chartFormat chart="8" format="4" series="1">
      <pivotArea type="data" outline="0" fieldPosition="0">
        <references count="2">
          <reference field="4294967294" count="1" selected="0">
            <x v="0"/>
          </reference>
          <reference field="0" count="1" selected="0">
            <x v="0"/>
          </reference>
        </references>
      </pivotArea>
    </chartFormat>
    <chartFormat chart="8" format="5" series="1">
      <pivotArea type="data" outline="0" fieldPosition="0">
        <references count="2">
          <reference field="4294967294" count="1" selected="0">
            <x v="0"/>
          </reference>
          <reference field="0" count="1" selected="0">
            <x v="1"/>
          </reference>
        </references>
      </pivotArea>
    </chartFormat>
    <chartFormat chart="8" format="6" series="1">
      <pivotArea type="data" outline="0" fieldPosition="0">
        <references count="2">
          <reference field="4294967294" count="1" selected="0">
            <x v="0"/>
          </reference>
          <reference field="0" count="1" selected="0">
            <x v="2"/>
          </reference>
        </references>
      </pivotArea>
    </chartFormat>
    <chartFormat chart="8" format="7" series="1">
      <pivotArea type="data" outline="0" fieldPosition="0">
        <references count="2">
          <reference field="4294967294" count="1" selected="0">
            <x v="0"/>
          </reference>
          <reference field="0" count="1" selected="0">
            <x v="3"/>
          </reference>
        </references>
      </pivotArea>
    </chartFormat>
    <chartFormat chart="9" format="8" series="1">
      <pivotArea type="data" outline="0" fieldPosition="0">
        <references count="2">
          <reference field="4294967294" count="1" selected="0">
            <x v="0"/>
          </reference>
          <reference field="0" count="1" selected="0">
            <x v="0"/>
          </reference>
        </references>
      </pivotArea>
    </chartFormat>
    <chartFormat chart="9" format="9" series="1">
      <pivotArea type="data" outline="0" fieldPosition="0">
        <references count="2">
          <reference field="4294967294" count="1" selected="0">
            <x v="0"/>
          </reference>
          <reference field="0" count="1" selected="0">
            <x v="1"/>
          </reference>
        </references>
      </pivotArea>
    </chartFormat>
    <chartFormat chart="9" format="10" series="1">
      <pivotArea type="data" outline="0" fieldPosition="0">
        <references count="2">
          <reference field="4294967294" count="1" selected="0">
            <x v="0"/>
          </reference>
          <reference field="0" count="1" selected="0">
            <x v="2"/>
          </reference>
        </references>
      </pivotArea>
    </chartFormat>
    <chartFormat chart="9" format="11" series="1">
      <pivotArea type="data" outline="0" fieldPosition="0">
        <references count="2">
          <reference field="4294967294" count="1" selected="0">
            <x v="0"/>
          </reference>
          <reference field="0" count="1" selected="0">
            <x v="3"/>
          </reference>
        </references>
      </pivotArea>
    </chartFormat>
  </chartFormats>
  <pivotHierarchies count="57">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colHierarchiesUsage count="1">
    <colHierarchyUsage hierarchyUsage="2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x15:activeTabTopLevelEntity name="[HR_Analytic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CD93C0E3-D433-4AD6-9828-C81CF5A5223B}" name="Emp_KPI" cacheId="104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Q1:AR2" firstHeaderRow="0" firstDataRow="1" firstDataCol="0"/>
  <pivotFields count="3">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2">
    <i>
      <x/>
    </i>
    <i i="1">
      <x v="1"/>
    </i>
  </colItems>
  <dataFields count="2">
    <dataField fld="0" subtotal="count" baseField="0" baseItem="0"/>
    <dataField fld="1" subtotal="count" baseField="0" baseItem="0"/>
  </dataFields>
  <formats count="3">
    <format dxfId="385">
      <pivotArea type="all" dataOnly="0" outline="0" fieldPosition="0"/>
    </format>
    <format dxfId="384">
      <pivotArea outline="0" collapsedLevelsAreSubtotals="1" fieldPosition="0"/>
    </format>
    <format dxfId="383">
      <pivotArea dataOnly="0" labelOnly="1" outline="0" axis="axisValues" fieldPosition="0"/>
    </format>
  </formats>
  <pivotHierarchies count="56">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x15:activeTabTopLevelEntity name="[HR_Analytic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A67DE133-62DE-45C3-8A6D-513DE50E8789}" name="Emp_Gender_Count" cacheId="104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7">
  <location ref="AN1:AO4" firstHeaderRow="1" firstDataRow="1" firstDataCol="1"/>
  <pivotFields count="3">
    <pivotField dataField="1" subtotalTop="0" showAll="0" defaultSubtotal="0"/>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s>
  <rowFields count="1">
    <field x="1"/>
  </rowFields>
  <rowItems count="3">
    <i>
      <x/>
    </i>
    <i>
      <x v="1"/>
    </i>
    <i t="grand">
      <x/>
    </i>
  </rowItems>
  <colItems count="1">
    <i/>
  </colItems>
  <dataFields count="1">
    <dataField fld="0" subtotal="count" baseField="0" baseItem="0"/>
  </dataFields>
  <formats count="3">
    <format dxfId="388">
      <pivotArea type="all" dataOnly="0" outline="0" fieldPosition="0"/>
    </format>
    <format dxfId="387">
      <pivotArea outline="0" collapsedLevelsAreSubtotals="1" fieldPosition="0"/>
    </format>
    <format dxfId="386">
      <pivotArea dataOnly="0" labelOnly="1" outline="0" axis="axisValues" fieldPosition="0"/>
    </format>
  </formats>
  <chartFormats count="6">
    <chartFormat chart="4" format="6" series="1">
      <pivotArea type="data" outline="0" fieldPosition="0">
        <references count="1">
          <reference field="4294967294" count="1" selected="0">
            <x v="0"/>
          </reference>
        </references>
      </pivotArea>
    </chartFormat>
    <chartFormat chart="4" format="7">
      <pivotArea type="data" outline="0" fieldPosition="0">
        <references count="2">
          <reference field="4294967294" count="1" selected="0">
            <x v="0"/>
          </reference>
          <reference field="1" count="1" selected="0">
            <x v="0"/>
          </reference>
        </references>
      </pivotArea>
    </chartFormat>
    <chartFormat chart="4" format="8">
      <pivotArea type="data" outline="0" fieldPosition="0">
        <references count="2">
          <reference field="4294967294" count="1" selected="0">
            <x v="0"/>
          </reference>
          <reference field="1"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pivotArea type="data" outline="0" fieldPosition="0">
        <references count="2">
          <reference field="4294967294" count="1" selected="0">
            <x v="0"/>
          </reference>
          <reference field="1" count="1" selected="0">
            <x v="0"/>
          </reference>
        </references>
      </pivotArea>
    </chartFormat>
    <chartFormat chart="6" format="14">
      <pivotArea type="data" outline="0" fieldPosition="0">
        <references count="2">
          <reference field="4294967294" count="1" selected="0">
            <x v="0"/>
          </reference>
          <reference field="1" count="1" selected="0">
            <x v="1"/>
          </reference>
        </references>
      </pivotArea>
    </chartFormat>
  </chartFormats>
  <pivotHierarchies count="56">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x15:activeTabTopLevelEntity name="[HR_Analytic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7F6C3E31-D884-4FF7-8AFA-8A522BD3360A}" name="Dept_Count" cacheId="1058"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5">
  <location ref="BK1:BL5" firstHeaderRow="1" firstDataRow="1" firstDataCol="1"/>
  <pivotFields count="2">
    <pivotField axis="axisRow" allDrilled="1" subtotalTop="0" showAll="0" dataSourceSort="1" defaultSubtotal="0" defaultAttributeDrillState="1">
      <items count="3">
        <item x="0"/>
        <item x="1"/>
        <item x="2"/>
      </items>
    </pivotField>
    <pivotField dataField="1" subtotalTop="0" showAll="0" defaultSubtotal="0"/>
  </pivotFields>
  <rowFields count="1">
    <field x="0"/>
  </rowFields>
  <rowItems count="4">
    <i>
      <x/>
    </i>
    <i>
      <x v="1"/>
    </i>
    <i>
      <x v="2"/>
    </i>
    <i t="grand">
      <x/>
    </i>
  </rowItems>
  <colItems count="1">
    <i/>
  </colItems>
  <dataFields count="1">
    <dataField fld="1" subtotal="count" baseField="0" baseItem="0"/>
  </dataFields>
  <formats count="3">
    <format dxfId="391">
      <pivotArea type="all" dataOnly="0" outline="0" fieldPosition="0"/>
    </format>
    <format dxfId="390">
      <pivotArea outline="0" collapsedLevelsAreSubtotals="1" fieldPosition="0"/>
    </format>
    <format dxfId="389">
      <pivotArea dataOnly="0" labelOnly="1" outline="0" axis="axisValues" fieldPosition="0"/>
    </format>
  </format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1"/>
          </reference>
        </references>
      </pivotArea>
    </chartFormat>
    <chartFormat chart="0" format="2">
      <pivotArea type="data" outline="0" fieldPosition="0">
        <references count="2">
          <reference field="4294967294" count="1" selected="0">
            <x v="0"/>
          </reference>
          <reference field="0" count="1" selected="0">
            <x v="0"/>
          </reference>
        </references>
      </pivotArea>
    </chartFormat>
    <chartFormat chart="0" format="3">
      <pivotArea type="data" outline="0" fieldPosition="0">
        <references count="2">
          <reference field="4294967294" count="1" selected="0">
            <x v="0"/>
          </reference>
          <reference field="0" count="1" selected="0">
            <x v="2"/>
          </reference>
        </references>
      </pivotArea>
    </chartFormat>
  </chartFormats>
  <pivotHierarchies count="56">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HR_Analytics">
        <x15:activeTabTopLevelEntity name="[HR_Analytic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28E4059B-5CD7-4B92-A344-2E0842877DEE}" sourceName="[HR_Analytics].[Department]">
  <pivotTables>
    <pivotTable tabId="6" name="Monthiy income By Dept"/>
    <pivotTable tabId="6" name="Attrition Rate"/>
    <pivotTable tabId="6" name="Attrition Rate by joprole"/>
    <pivotTable tabId="6" name="Monthly Income"/>
    <pivotTable tabId="6" name="Overtime Rate"/>
    <pivotTable tabId="6" name="Overtime Rate by jop role"/>
    <pivotTable tabId="6" name="Stasfaction Score"/>
    <pivotTable tabId="6" name="Stasfaction Score dept"/>
    <pivotTable tabId="6" name="Total Employess"/>
    <pivotTable tabId="6" name="Avg Age"/>
    <pivotTable tabId="6" name="Avg Tenure"/>
    <pivotTable tabId="6" name="Avg Env Sat"/>
    <pivotTable tabId="6" name="Avg WLB"/>
    <pivotTable tabId="6" name="Emp_AgeGroup_Count"/>
    <pivotTable tabId="6" name="Emp_AgeGroup_Attr"/>
    <pivotTable tabId="6" name="Emp_JobLevel_Income"/>
    <pivotTable tabId="6" name="Emp_Gender_Count"/>
    <pivotTable tabId="6" name="Emp_KPI"/>
    <pivotTable tabId="6" name="Dept_Attr"/>
    <pivotTable tabId="6" name="Dept_OT"/>
    <pivotTable tabId="6" name="Dept_Income_Slab"/>
    <pivotTable tabId="6" name="Dept_Sat"/>
    <pivotTable tabId="6" name="Dept_Count"/>
  </pivotTables>
  <data>
    <olap pivotCacheId="929277959">
      <levels count="2">
        <level uniqueName="[HR_Analytics].[Department].[(All)]" sourceCaption="(All)" count="0"/>
        <level uniqueName="[HR_Analytics].[Department].[Department]" sourceCaption="Department" count="3">
          <ranges>
            <range startItem="0">
              <i n="[HR_Analytics].[Department].&amp;[Human Resources]" c="Human Resources"/>
              <i n="[HR_Analytics].[Department].&amp;[Research &amp; Development]" c="Research &amp; Development"/>
              <i n="[HR_Analytics].[Department].&amp;[Sales]" c="Sales"/>
            </range>
          </ranges>
        </level>
      </levels>
      <selections count="1">
        <selection n="[HR_Analytics].[Department].[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arySlab" xr10:uid="{92568BFD-95C1-460B-8FCA-A2419EBC4571}" sourceName="[HR_Analytics].[SalarySlab]">
  <pivotTables>
    <pivotTable tabId="6" name="Monthiy income By Dept"/>
    <pivotTable tabId="6" name="Attrition Rate"/>
    <pivotTable tabId="6" name="Attrition Rate by joprole"/>
    <pivotTable tabId="6" name="Monthly Income"/>
    <pivotTable tabId="6" name="Overtime Rate"/>
    <pivotTable tabId="6" name="Overtime Rate by jop role"/>
    <pivotTable tabId="6" name="Stasfaction Score"/>
    <pivotTable tabId="6" name="Stasfaction Score dept"/>
    <pivotTable tabId="6" name="Total Employess"/>
    <pivotTable tabId="6" name="Avg Age"/>
    <pivotTable tabId="6" name="Avg Tenure"/>
    <pivotTable tabId="6" name="Avg Env Sat"/>
    <pivotTable tabId="6" name="Avg WLB"/>
    <pivotTable tabId="6" name="Emp_AgeGroup_Count"/>
    <pivotTable tabId="6" name="Emp_AgeGroup_Attr"/>
    <pivotTable tabId="6" name="Emp_JobLevel_Income"/>
    <pivotTable tabId="6" name="Emp_Gender_Count"/>
    <pivotTable tabId="6" name="Emp_KPI"/>
    <pivotTable tabId="6" name="Dept_Attr"/>
    <pivotTable tabId="6" name="Dept_OT"/>
    <pivotTable tabId="6" name="Dept_Income_Slab"/>
    <pivotTable tabId="6" name="Dept_Sat"/>
    <pivotTable tabId="6" name="Dept_Count"/>
  </pivotTables>
  <data>
    <olap pivotCacheId="929277959">
      <levels count="2">
        <level uniqueName="[HR_Analytics].[SalarySlab].[(All)]" sourceCaption="(All)" count="0"/>
        <level uniqueName="[HR_Analytics].[SalarySlab].[SalarySlab]" sourceCaption="SalarySlab" count="4">
          <ranges>
            <range startItem="0">
              <i n="[HR_Analytics].[SalarySlab].&amp;[10k-15k]" c="10k-15k"/>
              <i n="[HR_Analytics].[SalarySlab].&amp;[15k+]" c="15k+"/>
              <i n="[HR_Analytics].[SalarySlab].&amp;[5k-10k]" c="5k-10k"/>
              <i n="[HR_Analytics].[SalarySlab].&amp;[Upto 5k]" c="Upto 5k"/>
            </range>
          </ranges>
        </level>
      </levels>
      <selections count="1">
        <selection n="[HR_Analytics].[SalarySlab].[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xr10:uid="{9837F878-FD8E-4106-916B-48273BF53729}" cache="Slicer_Department" caption="Department" level="1" rowHeight="234950"/>
  <slicer name="SalarySlab" xr10:uid="{B6AD58AA-D4A9-45B1-99DE-745C7826E99A}" cache="Slicer_SalarySlab" caption="SalarySlab" level="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4" xr10:uid="{F9B111FA-0497-4192-B0DD-F03E883C6169}" cache="Slicer_Department" caption="Department" level="1" style="Slicer Style 2" rowHeight="234950"/>
  <slicer name="SalarySlab 4" xr10:uid="{F8301ACC-9C4F-42ED-928F-1C2544BE5172}" cache="Slicer_SalarySlab" caption="SalarySlab" level="1" style="Slicer Style 2"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5" xr10:uid="{E8D2C55A-2938-46F3-8FF8-3B335761C9D7}" cache="Slicer_Department" caption="Department" showCaption="0" level="1" style="Slicer Style 2" rowHeight="234950"/>
  <slicer name="SalarySlab 5" xr10:uid="{188D6AF4-D0FF-44DF-99FB-15FDDC8836E5}" cache="Slicer_SalarySlab" caption="SalarySlab" showCaption="0" level="1" style="Slicer Style 2"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6" xr10:uid="{B6E2F6B0-FE62-454A-A865-318C3140F1E7}" cache="Slicer_Department" caption="Department" showCaption="0" level="1" style="Slicer Style 2" rowHeight="234950"/>
  <slicer name="SalarySlab 6" xr10:uid="{C5C4BB13-10E4-4BD0-9C28-371968CBAE78}" cache="Slicer_SalarySlab" caption="SalarySlab" showCaption="0" level="1" style="Slicer Style 2"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936847F-A7B2-400B-8C39-4F5BEA92CAD0}" name="Table1" displayName="Table1" ref="A3:B41" totalsRowShown="0" headerRowDxfId="394">
  <autoFilter ref="A3:B41" xr:uid="{8936847F-A7B2-400B-8C39-4F5BEA92CAD0}"/>
  <tableColumns count="2">
    <tableColumn id="1" xr3:uid="{CA73FD59-CF74-472B-9379-6334339580B8}" name="Column" dataDxfId="393"/>
    <tableColumn id="2" xr3:uid="{5F10892E-1D8C-4E05-B0D1-A21F7E914881}" name="المعنى بالعربي" dataDxfId="392"/>
  </tableColumns>
  <tableStyleInfo name="TableStyleLight9" showFirstColumn="0" showLastColumn="0" showRowStripes="1" showColumnStripes="0"/>
</table>
</file>

<file path=xl/theme/theme1.xml><?xml version="1.0" encoding="utf-8"?>
<a:theme xmlns:a="http://schemas.openxmlformats.org/drawingml/2006/main" name="Slice">
  <a:themeElements>
    <a:clrScheme name="Blue II">
      <a:dk1>
        <a:sysClr val="windowText" lastClr="000000"/>
      </a:dk1>
      <a:lt1>
        <a:sysClr val="window" lastClr="FFFFFF"/>
      </a:lt1>
      <a:dk2>
        <a:srgbClr val="335B74"/>
      </a:dk2>
      <a:lt2>
        <a:srgbClr val="DFE3E5"/>
      </a:lt2>
      <a:accent1>
        <a:srgbClr val="1CADE4"/>
      </a:accent1>
      <a:accent2>
        <a:srgbClr val="2683C6"/>
      </a:accent2>
      <a:accent3>
        <a:srgbClr val="27CED7"/>
      </a:accent3>
      <a:accent4>
        <a:srgbClr val="42BA97"/>
      </a:accent4>
      <a:accent5>
        <a:srgbClr val="3E8853"/>
      </a:accent5>
      <a:accent6>
        <a:srgbClr val="62A39F"/>
      </a:accent6>
      <a:hlink>
        <a:srgbClr val="6EAC1C"/>
      </a:hlink>
      <a:folHlink>
        <a:srgbClr val="B26B02"/>
      </a:folHlink>
    </a:clrScheme>
    <a:fontScheme name="Slice">
      <a:majorFont>
        <a:latin typeface="Century Gothic" panose="020B0502020202020204"/>
        <a:ea typeface=""/>
        <a:cs typeface=""/>
        <a:font script="Jpan" typeface="メイリオ"/>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panose="020B0502020202020204"/>
        <a:ea typeface=""/>
        <a:cs typeface=""/>
        <a:font script="Jpan" typeface="メイリオ"/>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Slice">
      <a:fillStyleLst>
        <a:solidFill>
          <a:schemeClr val="phClr"/>
        </a:solidFill>
        <a:gradFill rotWithShape="1">
          <a:gsLst>
            <a:gs pos="0">
              <a:schemeClr val="phClr">
                <a:tint val="62000"/>
                <a:hueMod val="94000"/>
                <a:satMod val="140000"/>
                <a:lumMod val="110000"/>
              </a:schemeClr>
            </a:gs>
            <a:gs pos="100000">
              <a:schemeClr val="phClr">
                <a:tint val="84000"/>
                <a:satMod val="160000"/>
              </a:schemeClr>
            </a:gs>
          </a:gsLst>
          <a:lin ang="5400000" scaled="0"/>
        </a:gradFill>
        <a:gradFill rotWithShape="1">
          <a:gsLst>
            <a:gs pos="0">
              <a:schemeClr val="phClr">
                <a:tint val="98000"/>
                <a:hueMod val="94000"/>
                <a:satMod val="130000"/>
                <a:lumMod val="128000"/>
              </a:schemeClr>
            </a:gs>
            <a:gs pos="100000">
              <a:schemeClr val="phClr">
                <a:shade val="94000"/>
                <a:lumMod val="88000"/>
              </a:schemeClr>
            </a:gs>
          </a:gsLst>
          <a:lin ang="5400000" scaled="0"/>
        </a:gradFill>
      </a:fillStyleLst>
      <a:lnStyleLst>
        <a:ln w="9525" cap="rnd" cmpd="sng" algn="ctr">
          <a:solidFill>
            <a:schemeClr val="phClr">
              <a:tint val="76000"/>
              <a:alpha val="60000"/>
              <a:hueMod val="94000"/>
            </a:schemeClr>
          </a:solidFill>
          <a:prstDash val="solid"/>
        </a:ln>
        <a:ln w="15875" cap="rnd" cmpd="sng" algn="ctr">
          <a:solidFill>
            <a:schemeClr val="phClr">
              <a:hueMod val="94000"/>
            </a:schemeClr>
          </a:solidFill>
          <a:prstDash val="solid"/>
        </a:ln>
        <a:ln w="28575" cap="rnd" cmpd="sng" algn="ctr">
          <a:solidFill>
            <a:schemeClr val="phClr"/>
          </a:solidFill>
          <a:prstDash val="solid"/>
        </a:ln>
      </a:lnStyleLst>
      <a:effectStyleLst>
        <a:effectStyle>
          <a:effectLst/>
        </a:effectStyle>
        <a:effectStyle>
          <a:effectLst>
            <a:innerShdw blurRad="25400" dist="12700" dir="13500000">
              <a:srgbClr val="000000">
                <a:alpha val="45000"/>
              </a:srgbClr>
            </a:innerShdw>
          </a:effectLst>
        </a:effectStyle>
        <a:effectStyle>
          <a:effectLst>
            <a:outerShdw blurRad="50800" dist="38100" dir="5400000" rotWithShape="0">
              <a:srgbClr val="000000">
                <a:alpha val="46000"/>
              </a:srgbClr>
            </a:outerShdw>
          </a:effectLst>
          <a:scene3d>
            <a:camera prst="orthographicFront">
              <a:rot lat="0" lon="0" rev="0"/>
            </a:camera>
            <a:lightRig rig="threePt" dir="t"/>
          </a:scene3d>
          <a:sp3d prstMaterial="plastic">
            <a:bevelT w="25400" h="25400"/>
          </a:sp3d>
        </a:effectStyle>
      </a:effectStyleLst>
      <a:bgFillStyleLst>
        <a:solidFill>
          <a:schemeClr val="phClr"/>
        </a:solidFill>
        <a:gradFill rotWithShape="1">
          <a:gsLst>
            <a:gs pos="10000">
              <a:schemeClr val="phClr">
                <a:tint val="97000"/>
                <a:hueMod val="92000"/>
                <a:satMod val="169000"/>
                <a:lumMod val="164000"/>
              </a:schemeClr>
            </a:gs>
            <a:gs pos="100000">
              <a:schemeClr val="phClr">
                <a:shade val="96000"/>
                <a:satMod val="120000"/>
                <a:lumMod val="90000"/>
              </a:schemeClr>
            </a:gs>
          </a:gsLst>
          <a:lin ang="6120000" scaled="1"/>
        </a:gradFill>
        <a:gradFill rotWithShape="1">
          <a:gsLst>
            <a:gs pos="0">
              <a:schemeClr val="phClr">
                <a:tint val="97000"/>
                <a:hueMod val="92000"/>
                <a:satMod val="169000"/>
                <a:lumMod val="164000"/>
              </a:schemeClr>
            </a:gs>
            <a:gs pos="100000">
              <a:schemeClr val="phClr">
                <a:shade val="96000"/>
                <a:satMod val="120000"/>
                <a:lumMod val="90000"/>
              </a:schemeClr>
            </a:gs>
          </a:gsLst>
          <a:path path="circle">
            <a:fillToRect b="100000"/>
          </a:path>
        </a:gradFill>
      </a:bgFillStyleLst>
    </a:fmtScheme>
  </a:themeElements>
  <a:objectDefaults/>
  <a:extraClrSchemeLst/>
  <a:extLst>
    <a:ext uri="{05A4C25C-085E-4340-85A3-A5531E510DB2}">
      <thm15:themeFamily xmlns:thm15="http://schemas.microsoft.com/office/thememl/2012/main" name="Slice" id="{0507925B-6AC9-4358-8E18-C330545D08F8}" vid="{13FEC7C6-62A9-40C4-99D2-581AACACAA2F}"/>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21" Type="http://schemas.openxmlformats.org/officeDocument/2006/relationships/pivotTable" Target="../pivotTables/pivotTable21.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5" Type="http://schemas.microsoft.com/office/2007/relationships/slicer" Target="../slicers/slicer1.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ivotTable" Target="../pivotTables/pivotTable20.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24" Type="http://schemas.openxmlformats.org/officeDocument/2006/relationships/drawing" Target="../drawings/drawing2.xml"/><Relationship Id="rId5" Type="http://schemas.openxmlformats.org/officeDocument/2006/relationships/pivotTable" Target="../pivotTables/pivotTable5.xml"/><Relationship Id="rId15" Type="http://schemas.openxmlformats.org/officeDocument/2006/relationships/pivotTable" Target="../pivotTables/pivotTable15.xml"/><Relationship Id="rId23" Type="http://schemas.openxmlformats.org/officeDocument/2006/relationships/pivotTable" Target="../pivotTables/pivotTable23.xml"/><Relationship Id="rId10" Type="http://schemas.openxmlformats.org/officeDocument/2006/relationships/pivotTable" Target="../pivotTables/pivotTable10.xml"/><Relationship Id="rId19" Type="http://schemas.openxmlformats.org/officeDocument/2006/relationships/pivotTable" Target="../pivotTables/pivotTable19.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openxmlformats.org/officeDocument/2006/relationships/pivotTable" Target="../pivotTables/pivotTable22.xml"/></Relationships>
</file>

<file path=xl/worksheets/_rels/sheet4.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microsoft.com/office/2007/relationships/slicer" Target="../slicers/slicer4.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1D8E64-F53F-43C5-90C8-319B2BF085EE}">
  <sheetPr codeName="Sheet1"/>
  <dimension ref="A3:B41"/>
  <sheetViews>
    <sheetView zoomScale="86" workbookViewId="0">
      <selection activeCell="B29" sqref="B29"/>
    </sheetView>
  </sheetViews>
  <sheetFormatPr defaultRowHeight="13.8" x14ac:dyDescent="0.25"/>
  <cols>
    <col min="1" max="1" width="25" customWidth="1"/>
    <col min="2" max="2" width="38.3984375" customWidth="1"/>
  </cols>
  <sheetData>
    <row r="3" spans="1:2" x14ac:dyDescent="0.25">
      <c r="A3" s="1" t="s">
        <v>0</v>
      </c>
      <c r="B3" s="1" t="s">
        <v>1</v>
      </c>
    </row>
    <row r="4" spans="1:2" x14ac:dyDescent="0.25">
      <c r="A4" s="3" t="s">
        <v>2</v>
      </c>
      <c r="B4" s="2" t="s">
        <v>3</v>
      </c>
    </row>
    <row r="5" spans="1:2" x14ac:dyDescent="0.25">
      <c r="A5" s="3" t="s">
        <v>4</v>
      </c>
      <c r="B5" s="2" t="s">
        <v>5</v>
      </c>
    </row>
    <row r="6" spans="1:2" x14ac:dyDescent="0.25">
      <c r="A6" s="3" t="s">
        <v>6</v>
      </c>
      <c r="B6" s="2" t="s">
        <v>7</v>
      </c>
    </row>
    <row r="7" spans="1:2" x14ac:dyDescent="0.25">
      <c r="A7" s="3" t="s">
        <v>8</v>
      </c>
      <c r="B7" s="2" t="s">
        <v>9</v>
      </c>
    </row>
    <row r="8" spans="1:2" x14ac:dyDescent="0.25">
      <c r="A8" s="3" t="s">
        <v>10</v>
      </c>
      <c r="B8" s="2" t="s">
        <v>11</v>
      </c>
    </row>
    <row r="9" spans="1:2" x14ac:dyDescent="0.25">
      <c r="A9" s="3" t="s">
        <v>12</v>
      </c>
      <c r="B9" s="2" t="s">
        <v>13</v>
      </c>
    </row>
    <row r="10" spans="1:2" x14ac:dyDescent="0.25">
      <c r="A10" s="3" t="s">
        <v>14</v>
      </c>
      <c r="B10" s="2" t="s">
        <v>15</v>
      </c>
    </row>
    <row r="11" spans="1:2" x14ac:dyDescent="0.25">
      <c r="A11" s="3" t="s">
        <v>16</v>
      </c>
      <c r="B11" s="2" t="s">
        <v>17</v>
      </c>
    </row>
    <row r="12" spans="1:2" x14ac:dyDescent="0.25">
      <c r="A12" s="3" t="s">
        <v>18</v>
      </c>
      <c r="B12" s="2" t="s">
        <v>19</v>
      </c>
    </row>
    <row r="13" spans="1:2" x14ac:dyDescent="0.25">
      <c r="A13" s="3" t="s">
        <v>20</v>
      </c>
      <c r="B13" s="2" t="s">
        <v>21</v>
      </c>
    </row>
    <row r="14" spans="1:2" x14ac:dyDescent="0.25">
      <c r="A14" s="3" t="s">
        <v>22</v>
      </c>
      <c r="B14" s="2" t="s">
        <v>23</v>
      </c>
    </row>
    <row r="15" spans="1:2" x14ac:dyDescent="0.25">
      <c r="A15" s="3" t="s">
        <v>24</v>
      </c>
      <c r="B15" s="2" t="s">
        <v>25</v>
      </c>
    </row>
    <row r="16" spans="1:2" x14ac:dyDescent="0.25">
      <c r="A16" s="3" t="s">
        <v>26</v>
      </c>
      <c r="B16" s="2" t="s">
        <v>27</v>
      </c>
    </row>
    <row r="17" spans="1:2" x14ac:dyDescent="0.25">
      <c r="A17" s="3" t="s">
        <v>28</v>
      </c>
      <c r="B17" s="2" t="s">
        <v>29</v>
      </c>
    </row>
    <row r="18" spans="1:2" x14ac:dyDescent="0.25">
      <c r="A18" s="3" t="s">
        <v>30</v>
      </c>
      <c r="B18" s="2" t="s">
        <v>31</v>
      </c>
    </row>
    <row r="19" spans="1:2" x14ac:dyDescent="0.25">
      <c r="A19" s="3" t="s">
        <v>32</v>
      </c>
      <c r="B19" s="2" t="s">
        <v>33</v>
      </c>
    </row>
    <row r="20" spans="1:2" x14ac:dyDescent="0.25">
      <c r="A20" s="3" t="s">
        <v>34</v>
      </c>
      <c r="B20" s="2" t="s">
        <v>35</v>
      </c>
    </row>
    <row r="21" spans="1:2" x14ac:dyDescent="0.25">
      <c r="A21" s="3" t="s">
        <v>36</v>
      </c>
      <c r="B21" s="2" t="s">
        <v>37</v>
      </c>
    </row>
    <row r="22" spans="1:2" x14ac:dyDescent="0.25">
      <c r="A22" s="3" t="s">
        <v>38</v>
      </c>
      <c r="B22" s="2" t="s">
        <v>39</v>
      </c>
    </row>
    <row r="23" spans="1:2" x14ac:dyDescent="0.25">
      <c r="A23" s="3" t="s">
        <v>40</v>
      </c>
      <c r="B23" s="2" t="s">
        <v>41</v>
      </c>
    </row>
    <row r="24" spans="1:2" x14ac:dyDescent="0.25">
      <c r="A24" s="3" t="s">
        <v>42</v>
      </c>
      <c r="B24" s="2" t="s">
        <v>43</v>
      </c>
    </row>
    <row r="25" spans="1:2" x14ac:dyDescent="0.25">
      <c r="A25" s="3" t="s">
        <v>44</v>
      </c>
      <c r="B25" s="2" t="s">
        <v>45</v>
      </c>
    </row>
    <row r="26" spans="1:2" x14ac:dyDescent="0.25">
      <c r="A26" s="3" t="s">
        <v>46</v>
      </c>
      <c r="B26" s="2" t="s">
        <v>47</v>
      </c>
    </row>
    <row r="27" spans="1:2" x14ac:dyDescent="0.25">
      <c r="A27" s="3" t="s">
        <v>48</v>
      </c>
      <c r="B27" s="2" t="s">
        <v>49</v>
      </c>
    </row>
    <row r="28" spans="1:2" x14ac:dyDescent="0.25">
      <c r="A28" s="3" t="s">
        <v>50</v>
      </c>
      <c r="B28" s="2" t="s">
        <v>51</v>
      </c>
    </row>
    <row r="29" spans="1:2" x14ac:dyDescent="0.25">
      <c r="A29" s="3" t="s">
        <v>52</v>
      </c>
      <c r="B29" s="2" t="s">
        <v>53</v>
      </c>
    </row>
    <row r="30" spans="1:2" x14ac:dyDescent="0.25">
      <c r="A30" s="3" t="s">
        <v>54</v>
      </c>
      <c r="B30" s="2" t="s">
        <v>55</v>
      </c>
    </row>
    <row r="31" spans="1:2" x14ac:dyDescent="0.25">
      <c r="A31" s="3" t="s">
        <v>56</v>
      </c>
      <c r="B31" s="2" t="s">
        <v>57</v>
      </c>
    </row>
    <row r="32" spans="1:2" x14ac:dyDescent="0.25">
      <c r="A32" s="3" t="s">
        <v>58</v>
      </c>
      <c r="B32" s="2" t="s">
        <v>59</v>
      </c>
    </row>
    <row r="33" spans="1:2" x14ac:dyDescent="0.25">
      <c r="A33" s="3" t="s">
        <v>60</v>
      </c>
      <c r="B33" s="2" t="s">
        <v>61</v>
      </c>
    </row>
    <row r="34" spans="1:2" x14ac:dyDescent="0.25">
      <c r="A34" s="3" t="s">
        <v>62</v>
      </c>
      <c r="B34" s="2" t="s">
        <v>63</v>
      </c>
    </row>
    <row r="35" spans="1:2" x14ac:dyDescent="0.25">
      <c r="A35" s="3" t="s">
        <v>64</v>
      </c>
      <c r="B35" s="2" t="s">
        <v>65</v>
      </c>
    </row>
    <row r="36" spans="1:2" x14ac:dyDescent="0.25">
      <c r="A36" s="3" t="s">
        <v>66</v>
      </c>
      <c r="B36" s="2" t="s">
        <v>67</v>
      </c>
    </row>
    <row r="37" spans="1:2" x14ac:dyDescent="0.25">
      <c r="A37" s="3" t="s">
        <v>68</v>
      </c>
      <c r="B37" s="2" t="s">
        <v>69</v>
      </c>
    </row>
    <row r="38" spans="1:2" x14ac:dyDescent="0.25">
      <c r="A38" s="3" t="s">
        <v>70</v>
      </c>
      <c r="B38" s="2" t="s">
        <v>71</v>
      </c>
    </row>
    <row r="39" spans="1:2" x14ac:dyDescent="0.25">
      <c r="A39" s="3" t="s">
        <v>72</v>
      </c>
      <c r="B39" s="2" t="s">
        <v>73</v>
      </c>
    </row>
    <row r="40" spans="1:2" x14ac:dyDescent="0.25">
      <c r="A40" s="3" t="s">
        <v>74</v>
      </c>
      <c r="B40" s="2" t="s">
        <v>75</v>
      </c>
    </row>
    <row r="41" spans="1:2" x14ac:dyDescent="0.25">
      <c r="A41" s="3" t="s">
        <v>76</v>
      </c>
      <c r="B41" s="2" t="s">
        <v>77</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E13F17-1479-4B84-B394-093C65E65424}">
  <sheetPr codeName="Sheet2"/>
  <dimension ref="B2"/>
  <sheetViews>
    <sheetView topLeftCell="D5" zoomScale="75" workbookViewId="0">
      <selection activeCell="AF11" sqref="AF11"/>
    </sheetView>
  </sheetViews>
  <sheetFormatPr defaultColWidth="6.3984375" defaultRowHeight="13.8" x14ac:dyDescent="0.25"/>
  <cols>
    <col min="1" max="15" width="6.3984375" style="4"/>
    <col min="16" max="16" width="6.3984375" style="4" customWidth="1"/>
    <col min="17" max="16384" width="6.3984375" style="4"/>
  </cols>
  <sheetData>
    <row r="2" spans="2:2" x14ac:dyDescent="0.25">
      <c r="B2" s="4" t="s">
        <v>78</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EA7CBF-090D-42D4-93FD-AC9F3498126B}">
  <sheetPr codeName="Sheet3"/>
  <dimension ref="A1:BL45"/>
  <sheetViews>
    <sheetView workbookViewId="0">
      <selection activeCell="Y4" sqref="Y4"/>
    </sheetView>
  </sheetViews>
  <sheetFormatPr defaultRowHeight="13.8" x14ac:dyDescent="0.25"/>
  <cols>
    <col min="1" max="1" width="14.796875" bestFit="1" customWidth="1"/>
    <col min="2" max="2" width="8.796875" style="6"/>
    <col min="3" max="3" width="11.796875" bestFit="1" customWidth="1"/>
    <col min="4" max="4" width="8.796875" style="6"/>
    <col min="5" max="5" width="13.5" bestFit="1" customWidth="1"/>
    <col min="6" max="6" width="11.796875" style="6" bestFit="1" customWidth="1"/>
    <col min="7" max="7" width="16.09765625" bestFit="1" customWidth="1"/>
    <col min="8" max="8" width="8.796875" style="6"/>
    <col min="9" max="9" width="15.296875" bestFit="1" customWidth="1"/>
    <col min="10" max="10" width="8.796875" style="6"/>
    <col min="11" max="11" width="24.8984375" bestFit="1" customWidth="1"/>
    <col min="12" max="12" width="11.796875" bestFit="1" customWidth="1"/>
    <col min="13" max="13" width="8.796875" style="12"/>
    <col min="14" max="14" width="24" bestFit="1" customWidth="1"/>
    <col min="15" max="15" width="15.296875" bestFit="1" customWidth="1"/>
    <col min="16" max="16" width="8.796875" style="12"/>
    <col min="17" max="17" width="24.8984375" bestFit="1" customWidth="1"/>
    <col min="18" max="18" width="13.5" bestFit="1" customWidth="1"/>
    <col min="19" max="19" width="8.796875" style="6"/>
    <col min="20" max="20" width="24" bestFit="1" customWidth="1"/>
    <col min="21" max="21" width="16.09765625" bestFit="1" customWidth="1"/>
    <col min="22" max="22" width="16.09765625" style="17" bestFit="1" customWidth="1"/>
    <col min="23" max="23" width="8.59765625" bestFit="1" customWidth="1"/>
    <col min="24" max="24" width="8.796875" style="17"/>
    <col min="25" max="25" width="10.8984375" bestFit="1" customWidth="1"/>
    <col min="26" max="26" width="8.796875" style="17"/>
    <col min="27" max="27" width="11" bestFit="1" customWidth="1"/>
    <col min="28" max="28" width="8.796875" style="17"/>
    <col min="29" max="29" width="8.296875" bestFit="1" customWidth="1"/>
    <col min="30" max="30" width="8.796875" style="17"/>
    <col min="31" max="31" width="12.59765625" bestFit="1" customWidth="1"/>
    <col min="32" max="32" width="14.796875" bestFit="1" customWidth="1"/>
    <col min="33" max="33" width="8.796875" style="17"/>
    <col min="34" max="34" width="12.59765625" bestFit="1" customWidth="1"/>
    <col min="35" max="35" width="11.796875" bestFit="1" customWidth="1"/>
    <col min="36" max="36" width="8.796875" style="17"/>
    <col min="37" max="37" width="12.59765625" bestFit="1" customWidth="1"/>
    <col min="38" max="38" width="15.296875" bestFit="1" customWidth="1"/>
    <col min="39" max="39" width="8.796875" style="17"/>
    <col min="40" max="40" width="12.59765625" bestFit="1" customWidth="1"/>
    <col min="41" max="41" width="14.796875" bestFit="1" customWidth="1"/>
    <col min="42" max="42" width="8.796875" style="17"/>
    <col min="43" max="43" width="8.59765625" bestFit="1" customWidth="1"/>
    <col min="44" max="44" width="10.8984375" bestFit="1" customWidth="1"/>
    <col min="45" max="45" width="8.796875" style="17"/>
    <col min="46" max="46" width="24" bestFit="1" customWidth="1"/>
    <col min="47" max="47" width="15.5" bestFit="1" customWidth="1"/>
    <col min="48" max="48" width="8.796875" style="17"/>
    <col min="49" max="49" width="24" bestFit="1" customWidth="1"/>
    <col min="50" max="50" width="17.5" bestFit="1" customWidth="1"/>
    <col min="51" max="51" width="8.796875" style="17"/>
    <col min="52" max="52" width="24" bestFit="1" customWidth="1"/>
    <col min="53" max="53" width="16" bestFit="1" customWidth="1"/>
    <col min="54" max="56" width="10.3984375" bestFit="1" customWidth="1"/>
    <col min="57" max="57" width="11.09765625" bestFit="1" customWidth="1"/>
    <col min="58" max="58" width="8.796875" style="17"/>
    <col min="59" max="59" width="24" bestFit="1" customWidth="1"/>
    <col min="60" max="60" width="11" bestFit="1" customWidth="1"/>
    <col min="61" max="61" width="8.296875" bestFit="1" customWidth="1"/>
    <col min="62" max="62" width="8.796875" style="17"/>
    <col min="63" max="63" width="24" bestFit="1" customWidth="1"/>
    <col min="64" max="64" width="14.796875" bestFit="1" customWidth="1"/>
  </cols>
  <sheetData>
    <row r="1" spans="1:64" x14ac:dyDescent="0.25">
      <c r="A1" t="s">
        <v>79</v>
      </c>
      <c r="C1" t="s">
        <v>80</v>
      </c>
      <c r="E1" t="s">
        <v>90</v>
      </c>
      <c r="G1" s="7" t="s">
        <v>91</v>
      </c>
      <c r="I1" s="7" t="s">
        <v>92</v>
      </c>
      <c r="K1" s="8" t="s">
        <v>93</v>
      </c>
      <c r="L1" s="20" t="s">
        <v>80</v>
      </c>
      <c r="N1" s="10" t="s">
        <v>93</v>
      </c>
      <c r="O1" s="7" t="s">
        <v>92</v>
      </c>
      <c r="Q1" s="8" t="s">
        <v>93</v>
      </c>
      <c r="R1" s="20" t="s">
        <v>90</v>
      </c>
      <c r="T1" s="10" t="s">
        <v>93</v>
      </c>
      <c r="U1" s="7" t="s">
        <v>91</v>
      </c>
      <c r="W1" t="s">
        <v>103</v>
      </c>
      <c r="Y1" t="s">
        <v>104</v>
      </c>
      <c r="AA1" t="s">
        <v>105</v>
      </c>
      <c r="AC1" t="s">
        <v>106</v>
      </c>
      <c r="AE1" s="8" t="s">
        <v>93</v>
      </c>
      <c r="AF1" t="s">
        <v>79</v>
      </c>
      <c r="AH1" s="8" t="s">
        <v>93</v>
      </c>
      <c r="AI1" t="s">
        <v>80</v>
      </c>
      <c r="AK1" s="8" t="s">
        <v>93</v>
      </c>
      <c r="AL1" t="s">
        <v>92</v>
      </c>
      <c r="AN1" s="10" t="s">
        <v>93</v>
      </c>
      <c r="AO1" s="7" t="s">
        <v>79</v>
      </c>
      <c r="AQ1" s="7" t="s">
        <v>103</v>
      </c>
      <c r="AR1" s="7" t="s">
        <v>104</v>
      </c>
      <c r="AT1" s="10" t="s">
        <v>93</v>
      </c>
      <c r="AU1" s="7" t="s">
        <v>107</v>
      </c>
      <c r="AW1" s="10" t="s">
        <v>93</v>
      </c>
      <c r="AX1" s="7" t="s">
        <v>108</v>
      </c>
      <c r="AZ1" s="10" t="s">
        <v>110</v>
      </c>
      <c r="BA1" s="10" t="s">
        <v>109</v>
      </c>
      <c r="BB1" s="7"/>
      <c r="BC1" s="7"/>
      <c r="BD1" s="7"/>
      <c r="BE1" s="7"/>
      <c r="BG1" s="10" t="s">
        <v>93</v>
      </c>
      <c r="BH1" s="7" t="s">
        <v>105</v>
      </c>
      <c r="BI1" s="7" t="s">
        <v>106</v>
      </c>
      <c r="BK1" s="10" t="s">
        <v>93</v>
      </c>
      <c r="BL1" s="7" t="s">
        <v>79</v>
      </c>
    </row>
    <row r="2" spans="1:64" x14ac:dyDescent="0.25">
      <c r="A2" s="5">
        <v>1480</v>
      </c>
      <c r="C2" s="9">
        <v>0.16081081081081081</v>
      </c>
      <c r="E2" s="9">
        <v>0.28243243243243243</v>
      </c>
      <c r="G2" s="7">
        <v>2.7297297297297298</v>
      </c>
      <c r="I2" s="5">
        <v>6504.985810810811</v>
      </c>
      <c r="K2" s="11" t="s">
        <v>85</v>
      </c>
      <c r="L2" s="19">
        <v>6.8181818181818177E-2</v>
      </c>
      <c r="N2" s="13" t="s">
        <v>82</v>
      </c>
      <c r="O2" s="5">
        <v>6654.5079365079364</v>
      </c>
      <c r="Q2" s="11" t="s">
        <v>85</v>
      </c>
      <c r="R2" s="19">
        <v>0.28030303030303028</v>
      </c>
      <c r="T2" s="13" t="s">
        <v>82</v>
      </c>
      <c r="U2" s="7">
        <v>2.7738095238095237</v>
      </c>
      <c r="W2" s="18">
        <v>36.917567567567566</v>
      </c>
      <c r="Y2" s="18">
        <v>7.0094594594594595</v>
      </c>
      <c r="AA2" s="18">
        <v>2.7243243243243245</v>
      </c>
      <c r="AC2" s="18">
        <v>2.7608108108108107</v>
      </c>
      <c r="AE2" s="11">
        <v>18</v>
      </c>
      <c r="AF2" s="18">
        <v>8</v>
      </c>
      <c r="AH2" s="11">
        <v>18</v>
      </c>
      <c r="AI2" s="9">
        <v>0.5</v>
      </c>
      <c r="AK2" s="11">
        <v>1</v>
      </c>
      <c r="AL2" s="18">
        <v>2789.075229357798</v>
      </c>
      <c r="AN2" s="13" t="s">
        <v>97</v>
      </c>
      <c r="AO2" s="7">
        <v>591</v>
      </c>
      <c r="AQ2" s="7">
        <v>36.917567567567566</v>
      </c>
      <c r="AR2" s="7">
        <v>7.0094594594594595</v>
      </c>
      <c r="AT2" s="13" t="s">
        <v>82</v>
      </c>
      <c r="AU2" s="7">
        <v>63</v>
      </c>
      <c r="AW2" s="13" t="s">
        <v>82</v>
      </c>
      <c r="AX2" s="7">
        <v>63</v>
      </c>
      <c r="AZ2" s="10" t="s">
        <v>93</v>
      </c>
      <c r="BA2" s="7" t="s">
        <v>101</v>
      </c>
      <c r="BB2" s="7" t="s">
        <v>102</v>
      </c>
      <c r="BC2" s="7" t="s">
        <v>100</v>
      </c>
      <c r="BD2" s="7" t="s">
        <v>98</v>
      </c>
      <c r="BE2" s="7" t="s">
        <v>94</v>
      </c>
      <c r="BG2" s="13" t="s">
        <v>82</v>
      </c>
      <c r="BH2" s="7">
        <v>2.6825396825396823</v>
      </c>
      <c r="BI2" s="7">
        <v>2.9206349206349205</v>
      </c>
      <c r="BK2" s="13" t="s">
        <v>82</v>
      </c>
      <c r="BL2" s="7">
        <v>63</v>
      </c>
    </row>
    <row r="3" spans="1:64" x14ac:dyDescent="0.25">
      <c r="A3">
        <f>GETPIVOTDATA("[Measures].[Total Employess]",$A$1)</f>
        <v>1480</v>
      </c>
      <c r="K3" s="11" t="s">
        <v>82</v>
      </c>
      <c r="L3" s="19">
        <v>0.23076923076923078</v>
      </c>
      <c r="N3" s="13" t="s">
        <v>95</v>
      </c>
      <c r="O3" s="5">
        <v>6280.3650465356777</v>
      </c>
      <c r="Q3" s="11" t="s">
        <v>82</v>
      </c>
      <c r="R3" s="19">
        <v>0.25</v>
      </c>
      <c r="T3" s="13" t="s">
        <v>95</v>
      </c>
      <c r="U3" s="7">
        <v>2.7238883143743537</v>
      </c>
      <c r="AE3" s="11">
        <v>19</v>
      </c>
      <c r="AF3" s="18">
        <v>9</v>
      </c>
      <c r="AH3" s="11">
        <v>19</v>
      </c>
      <c r="AI3" s="9">
        <v>0.66666666666666663</v>
      </c>
      <c r="AK3" s="11">
        <v>2</v>
      </c>
      <c r="AL3" s="18">
        <v>5504.0055658627089</v>
      </c>
      <c r="AN3" s="13" t="s">
        <v>99</v>
      </c>
      <c r="AO3" s="7">
        <v>889</v>
      </c>
      <c r="AT3" s="13" t="s">
        <v>95</v>
      </c>
      <c r="AU3" s="7">
        <v>967</v>
      </c>
      <c r="AW3" s="13" t="s">
        <v>95</v>
      </c>
      <c r="AX3" s="7">
        <v>967</v>
      </c>
      <c r="AZ3" s="13" t="s">
        <v>82</v>
      </c>
      <c r="BA3" s="7">
        <v>35233</v>
      </c>
      <c r="BB3" s="7">
        <v>184949</v>
      </c>
      <c r="BC3" s="7">
        <v>96409</v>
      </c>
      <c r="BD3" s="7">
        <v>102643</v>
      </c>
      <c r="BE3" s="7">
        <v>419234</v>
      </c>
      <c r="BG3" s="13" t="s">
        <v>95</v>
      </c>
      <c r="BH3" s="7">
        <v>2.7445708376421925</v>
      </c>
      <c r="BI3" s="7">
        <v>2.7259565667011376</v>
      </c>
      <c r="BK3" s="13" t="s">
        <v>95</v>
      </c>
      <c r="BL3" s="7">
        <v>967</v>
      </c>
    </row>
    <row r="4" spans="1:64" x14ac:dyDescent="0.25">
      <c r="C4" s="14">
        <f>GETPIVOTDATA("[Measures].[Attrition Rate]",$C$1)</f>
        <v>0.16081081081081081</v>
      </c>
      <c r="E4" s="14">
        <f>GETPIVOTDATA("[Measures].[Overtime Rate]",$E$1)</f>
        <v>0.28243243243243243</v>
      </c>
      <c r="G4" s="7">
        <f>GETPIVOTDATA("[Measures].[Stasfaction Score]",$G$1)</f>
        <v>2.7297297297297298</v>
      </c>
      <c r="I4" s="5">
        <f>GETPIVOTDATA("[Measures].[Monthly Income]",$I$1)</f>
        <v>6504.985810810811</v>
      </c>
      <c r="K4" s="11" t="s">
        <v>81</v>
      </c>
      <c r="L4" s="19">
        <v>0.23754789272030652</v>
      </c>
      <c r="N4" s="13" t="s">
        <v>96</v>
      </c>
      <c r="O4" s="5">
        <v>6966.7377777777774</v>
      </c>
      <c r="Q4" s="11" t="s">
        <v>81</v>
      </c>
      <c r="R4" s="19">
        <v>0.23754789272030652</v>
      </c>
      <c r="T4" s="13" t="s">
        <v>96</v>
      </c>
      <c r="U4" s="7">
        <v>2.7361111111111112</v>
      </c>
      <c r="W4" s="5">
        <f>GETPIVOTDATA("[Measures].[Avg Age]",$W$1)</f>
        <v>36.917567567567566</v>
      </c>
      <c r="Y4" s="7">
        <f>GETPIVOTDATA("[Measures].[Avg Tenure]",$Y$1)</f>
        <v>7.0094594594594595</v>
      </c>
      <c r="AA4" s="5">
        <f>GETPIVOTDATA("[Measures].[Avg Env Sat]",$AA$1)</f>
        <v>2.7243243243243245</v>
      </c>
      <c r="AC4" s="5">
        <f>GETPIVOTDATA("[Measures].[Avg WLB]",$AC$1)</f>
        <v>2.7608108108108107</v>
      </c>
      <c r="AE4" s="11">
        <v>20</v>
      </c>
      <c r="AF4" s="18">
        <v>11</v>
      </c>
      <c r="AH4" s="11">
        <v>20</v>
      </c>
      <c r="AI4" s="9">
        <v>0.54545454545454541</v>
      </c>
      <c r="AK4" s="11">
        <v>3</v>
      </c>
      <c r="AL4" s="18">
        <v>9822.7545454545452</v>
      </c>
      <c r="AN4" s="13" t="s">
        <v>94</v>
      </c>
      <c r="AO4" s="7">
        <v>1480</v>
      </c>
      <c r="AT4" s="13" t="s">
        <v>96</v>
      </c>
      <c r="AU4" s="7">
        <v>450</v>
      </c>
      <c r="AW4" s="13" t="s">
        <v>96</v>
      </c>
      <c r="AX4" s="7">
        <v>450</v>
      </c>
      <c r="AZ4" s="13" t="s">
        <v>95</v>
      </c>
      <c r="BA4" s="7">
        <v>1202417</v>
      </c>
      <c r="BB4" s="7">
        <v>1666954</v>
      </c>
      <c r="BC4" s="7">
        <v>1474093</v>
      </c>
      <c r="BD4" s="7">
        <v>1729649</v>
      </c>
      <c r="BE4" s="7">
        <v>6073113</v>
      </c>
      <c r="BG4" s="13" t="s">
        <v>96</v>
      </c>
      <c r="BH4" s="7">
        <v>2.6866666666666665</v>
      </c>
      <c r="BI4" s="7">
        <v>2.8133333333333335</v>
      </c>
      <c r="BK4" s="13" t="s">
        <v>96</v>
      </c>
      <c r="BL4" s="7">
        <v>450</v>
      </c>
    </row>
    <row r="5" spans="1:64" x14ac:dyDescent="0.25">
      <c r="K5" s="11" t="s">
        <v>88</v>
      </c>
      <c r="L5" s="19">
        <v>4.9019607843137254E-2</v>
      </c>
      <c r="N5" s="13" t="s">
        <v>94</v>
      </c>
      <c r="O5" s="5">
        <v>6504.985810810811</v>
      </c>
      <c r="Q5" s="11" t="s">
        <v>88</v>
      </c>
      <c r="R5" s="19">
        <v>0.26470588235294118</v>
      </c>
      <c r="T5" s="13" t="s">
        <v>94</v>
      </c>
      <c r="U5" s="5">
        <v>2.7297297297297298</v>
      </c>
      <c r="AE5" s="11">
        <v>21</v>
      </c>
      <c r="AF5" s="18">
        <v>13</v>
      </c>
      <c r="AH5" s="11">
        <v>21</v>
      </c>
      <c r="AI5" s="9">
        <v>0.46153846153846156</v>
      </c>
      <c r="AK5" s="11">
        <v>4</v>
      </c>
      <c r="AL5" s="18">
        <v>15471.327102803738</v>
      </c>
      <c r="AT5" s="13" t="s">
        <v>94</v>
      </c>
      <c r="AU5" s="7">
        <v>1480</v>
      </c>
      <c r="AW5" s="13" t="s">
        <v>94</v>
      </c>
      <c r="AX5" s="7">
        <v>1480</v>
      </c>
      <c r="AZ5" s="13" t="s">
        <v>96</v>
      </c>
      <c r="BA5" s="7">
        <v>549526</v>
      </c>
      <c r="BB5" s="7">
        <v>549992</v>
      </c>
      <c r="BC5" s="7">
        <v>1465106</v>
      </c>
      <c r="BD5" s="7">
        <v>570408</v>
      </c>
      <c r="BE5" s="7">
        <v>3135032</v>
      </c>
      <c r="BG5" s="13" t="s">
        <v>94</v>
      </c>
      <c r="BH5" s="7">
        <v>2.7243243243243245</v>
      </c>
      <c r="BI5" s="7">
        <v>2.7608108108108107</v>
      </c>
      <c r="BK5" s="13" t="s">
        <v>94</v>
      </c>
      <c r="BL5" s="7">
        <v>1480</v>
      </c>
    </row>
    <row r="6" spans="1:64" x14ac:dyDescent="0.25">
      <c r="K6" s="11" t="s">
        <v>87</v>
      </c>
      <c r="L6" s="19">
        <v>6.8027210884353748E-2</v>
      </c>
      <c r="Q6" s="11" t="s">
        <v>87</v>
      </c>
      <c r="R6" s="19">
        <v>0.27210884353741499</v>
      </c>
      <c r="AE6" s="11">
        <v>22</v>
      </c>
      <c r="AF6" s="18">
        <v>16</v>
      </c>
      <c r="AH6" s="11">
        <v>22</v>
      </c>
      <c r="AI6" s="9">
        <v>0.3125</v>
      </c>
      <c r="AK6" s="11">
        <v>5</v>
      </c>
      <c r="AL6" s="18">
        <v>19191.82608695652</v>
      </c>
      <c r="AZ6" s="13" t="s">
        <v>94</v>
      </c>
      <c r="BA6" s="7">
        <v>1787176</v>
      </c>
      <c r="BB6" s="7">
        <v>2401895</v>
      </c>
      <c r="BC6" s="7">
        <v>3035608</v>
      </c>
      <c r="BD6" s="7">
        <v>2402700</v>
      </c>
      <c r="BE6" s="7">
        <v>9627379</v>
      </c>
    </row>
    <row r="7" spans="1:64" x14ac:dyDescent="0.25">
      <c r="K7" s="11" t="s">
        <v>89</v>
      </c>
      <c r="L7" s="19">
        <v>2.5000000000000001E-2</v>
      </c>
      <c r="Q7" s="11" t="s">
        <v>89</v>
      </c>
      <c r="R7" s="19">
        <v>0.28749999999999998</v>
      </c>
      <c r="AE7" s="11">
        <v>23</v>
      </c>
      <c r="AF7" s="18">
        <v>14</v>
      </c>
      <c r="AH7" s="11">
        <v>23</v>
      </c>
      <c r="AI7" s="9">
        <v>0.2857142857142857</v>
      </c>
      <c r="AK7" s="11" t="s">
        <v>94</v>
      </c>
      <c r="AL7" s="18">
        <v>6504.985810810811</v>
      </c>
    </row>
    <row r="8" spans="1:64" x14ac:dyDescent="0.25">
      <c r="K8" s="11" t="s">
        <v>84</v>
      </c>
      <c r="L8" s="19">
        <v>0.16040955631399317</v>
      </c>
      <c r="Q8" s="11" t="s">
        <v>84</v>
      </c>
      <c r="R8" s="19">
        <v>0.33105802047781568</v>
      </c>
      <c r="AE8" s="11">
        <v>24</v>
      </c>
      <c r="AF8" s="18">
        <v>26</v>
      </c>
      <c r="AH8" s="11">
        <v>24</v>
      </c>
      <c r="AI8" s="9">
        <v>0.26923076923076922</v>
      </c>
    </row>
    <row r="9" spans="1:64" x14ac:dyDescent="0.25">
      <c r="K9" s="11" t="s">
        <v>86</v>
      </c>
      <c r="L9" s="19">
        <v>0.17629179331306991</v>
      </c>
      <c r="Q9" s="11" t="s">
        <v>86</v>
      </c>
      <c r="R9" s="19">
        <v>0.28875379939209728</v>
      </c>
      <c r="AE9" s="11">
        <v>25</v>
      </c>
      <c r="AF9" s="18">
        <v>26</v>
      </c>
      <c r="AH9" s="11">
        <v>25</v>
      </c>
      <c r="AI9" s="9">
        <v>0.23076923076923078</v>
      </c>
    </row>
    <row r="10" spans="1:64" x14ac:dyDescent="0.25">
      <c r="K10" s="11" t="s">
        <v>83</v>
      </c>
      <c r="L10" s="19">
        <v>0.39285714285714285</v>
      </c>
      <c r="Q10" s="11" t="s">
        <v>83</v>
      </c>
      <c r="R10" s="19">
        <v>0.2857142857142857</v>
      </c>
      <c r="AE10" s="11">
        <v>26</v>
      </c>
      <c r="AF10" s="18">
        <v>40</v>
      </c>
      <c r="AH10" s="11">
        <v>26</v>
      </c>
      <c r="AI10" s="9">
        <v>0.3</v>
      </c>
    </row>
    <row r="11" spans="1:64" x14ac:dyDescent="0.25">
      <c r="K11" s="11" t="s">
        <v>94</v>
      </c>
      <c r="L11" s="19">
        <v>0.16081081081081081</v>
      </c>
      <c r="Q11" s="11" t="s">
        <v>94</v>
      </c>
      <c r="R11" s="19">
        <v>0.28243243243243243</v>
      </c>
      <c r="AE11" s="11">
        <v>27</v>
      </c>
      <c r="AF11" s="18">
        <v>49</v>
      </c>
      <c r="AH11" s="11">
        <v>27</v>
      </c>
      <c r="AI11" s="9">
        <v>6.1224489795918366E-2</v>
      </c>
    </row>
    <row r="12" spans="1:64" x14ac:dyDescent="0.25">
      <c r="AE12" s="11">
        <v>28</v>
      </c>
      <c r="AF12" s="18">
        <v>48</v>
      </c>
      <c r="AH12" s="11">
        <v>28</v>
      </c>
      <c r="AI12" s="9">
        <v>0.29166666666666669</v>
      </c>
    </row>
    <row r="13" spans="1:64" x14ac:dyDescent="0.25">
      <c r="AE13" s="11">
        <v>29</v>
      </c>
      <c r="AF13" s="18">
        <v>69</v>
      </c>
      <c r="AH13" s="11">
        <v>29</v>
      </c>
      <c r="AI13" s="9">
        <v>0.2608695652173913</v>
      </c>
    </row>
    <row r="14" spans="1:64" x14ac:dyDescent="0.25">
      <c r="AE14" s="11">
        <v>30</v>
      </c>
      <c r="AF14" s="18">
        <v>60</v>
      </c>
      <c r="AH14" s="11">
        <v>30</v>
      </c>
      <c r="AI14" s="9">
        <v>0.15</v>
      </c>
    </row>
    <row r="15" spans="1:64" x14ac:dyDescent="0.25">
      <c r="AE15" s="11">
        <v>31</v>
      </c>
      <c r="AF15" s="18">
        <v>70</v>
      </c>
      <c r="AH15" s="11">
        <v>31</v>
      </c>
      <c r="AI15" s="9">
        <v>0.25714285714285712</v>
      </c>
    </row>
    <row r="16" spans="1:64" x14ac:dyDescent="0.25">
      <c r="Q16" s="11" t="s">
        <v>85</v>
      </c>
      <c r="R16" s="9">
        <f>GETPIVOTDATA("[Measures].[Overtime Rate]",$Q$1,"[HR_Analytics].[JobRole]","[HR_Analytics].[JobRole].&amp;[Healthcare Representative]")</f>
        <v>0.28030303030303028</v>
      </c>
      <c r="AE16" s="11">
        <v>32</v>
      </c>
      <c r="AF16" s="18">
        <v>61</v>
      </c>
      <c r="AH16" s="11">
        <v>32</v>
      </c>
      <c r="AI16" s="9">
        <v>0.18032786885245902</v>
      </c>
    </row>
    <row r="17" spans="17:35" x14ac:dyDescent="0.25">
      <c r="Q17" s="11" t="s">
        <v>82</v>
      </c>
      <c r="R17" s="9">
        <f>GETPIVOTDATA("[Measures].[Overtime Rate]",$Q$1,"[HR_Analytics].[JobRole]","[HR_Analytics].[JobRole].&amp;[Human Resources]")</f>
        <v>0.25</v>
      </c>
      <c r="AE17" s="11">
        <v>33</v>
      </c>
      <c r="AF17" s="18">
        <v>58</v>
      </c>
      <c r="AH17" s="11">
        <v>33</v>
      </c>
      <c r="AI17" s="9">
        <v>0.20689655172413793</v>
      </c>
    </row>
    <row r="18" spans="17:35" x14ac:dyDescent="0.25">
      <c r="Q18" s="11" t="s">
        <v>81</v>
      </c>
      <c r="R18" s="9">
        <f>GETPIVOTDATA("[Measures].[Overtime Rate]",$Q$1,"[HR_Analytics].[JobRole]","[HR_Analytics].[JobRole].&amp;[Laboratory Technician]")</f>
        <v>0.23754789272030652</v>
      </c>
      <c r="AE18" s="11">
        <v>34</v>
      </c>
      <c r="AF18" s="18">
        <v>78</v>
      </c>
      <c r="AH18" s="11">
        <v>34</v>
      </c>
      <c r="AI18" s="9">
        <v>0.11538461538461539</v>
      </c>
    </row>
    <row r="19" spans="17:35" x14ac:dyDescent="0.25">
      <c r="Q19" s="11" t="s">
        <v>88</v>
      </c>
      <c r="R19" s="9">
        <f>GETPIVOTDATA("[Measures].[Overtime Rate]",$Q$1,"[HR_Analytics].[JobRole]","[HR_Analytics].[JobRole].&amp;[Manager]")</f>
        <v>0.26470588235294118</v>
      </c>
      <c r="AE19" s="11">
        <v>35</v>
      </c>
      <c r="AF19" s="18">
        <v>78</v>
      </c>
      <c r="AH19" s="11">
        <v>35</v>
      </c>
      <c r="AI19" s="9">
        <v>0.12820512820512819</v>
      </c>
    </row>
    <row r="20" spans="17:35" x14ac:dyDescent="0.25">
      <c r="Q20" s="11" t="s">
        <v>87</v>
      </c>
      <c r="R20" s="9">
        <f>GETPIVOTDATA("[Measures].[Overtime Rate]",$Q$1,"[HR_Analytics].[JobRole]","[HR_Analytics].[JobRole].&amp;[Manufacturing Director]")</f>
        <v>0.27210884353741499</v>
      </c>
      <c r="AE20" s="11">
        <v>36</v>
      </c>
      <c r="AF20" s="18">
        <v>70</v>
      </c>
      <c r="AH20" s="11">
        <v>36</v>
      </c>
      <c r="AI20" s="9">
        <v>8.5714285714285715E-2</v>
      </c>
    </row>
    <row r="21" spans="17:35" x14ac:dyDescent="0.25">
      <c r="Q21" s="11" t="s">
        <v>89</v>
      </c>
      <c r="R21" s="9">
        <f>GETPIVOTDATA("[Measures].[Overtime Rate]",$Q$1,"[HR_Analytics].[JobRole]","[HR_Analytics].[JobRole].&amp;[Research Director]")</f>
        <v>0.28749999999999998</v>
      </c>
      <c r="AE21" s="11">
        <v>37</v>
      </c>
      <c r="AF21" s="18">
        <v>50</v>
      </c>
      <c r="AH21" s="11">
        <v>37</v>
      </c>
      <c r="AI21" s="9">
        <v>0.12</v>
      </c>
    </row>
    <row r="22" spans="17:35" x14ac:dyDescent="0.25">
      <c r="Q22" s="11" t="s">
        <v>84</v>
      </c>
      <c r="R22" s="9">
        <f>GETPIVOTDATA("[Measures].[Overtime Rate]",$Q$1,"[HR_Analytics].[JobRole]","[HR_Analytics].[JobRole].&amp;[Research Scientist]")</f>
        <v>0.33105802047781568</v>
      </c>
      <c r="AE22" s="11">
        <v>38</v>
      </c>
      <c r="AF22" s="18">
        <v>58</v>
      </c>
      <c r="AH22" s="11">
        <v>38</v>
      </c>
      <c r="AI22" s="9">
        <v>3.4482758620689655E-2</v>
      </c>
    </row>
    <row r="23" spans="17:35" x14ac:dyDescent="0.25">
      <c r="Q23" s="11" t="s">
        <v>86</v>
      </c>
      <c r="R23" s="9">
        <f>GETPIVOTDATA("[Measures].[Overtime Rate]",$Q$1,"[HR_Analytics].[JobRole]","[HR_Analytics].[JobRole].&amp;[Sales Executive]")</f>
        <v>0.28875379939209728</v>
      </c>
      <c r="AE23" s="11">
        <v>39</v>
      </c>
      <c r="AF23" s="18">
        <v>44</v>
      </c>
      <c r="AH23" s="11">
        <v>39</v>
      </c>
      <c r="AI23" s="9">
        <v>0.13636363636363635</v>
      </c>
    </row>
    <row r="24" spans="17:35" x14ac:dyDescent="0.25">
      <c r="Q24" s="11" t="s">
        <v>83</v>
      </c>
      <c r="R24" s="9">
        <f>GETPIVOTDATA("[Measures].[Overtime Rate]",$Q$1,"[HR_Analytics].[JobRole]","[HR_Analytics].[JobRole].&amp;[Sales Representative]")</f>
        <v>0.2857142857142857</v>
      </c>
      <c r="AE24" s="11">
        <v>40</v>
      </c>
      <c r="AF24" s="18">
        <v>57</v>
      </c>
      <c r="AH24" s="11">
        <v>40</v>
      </c>
      <c r="AI24" s="9">
        <v>8.771929824561403E-2</v>
      </c>
    </row>
    <row r="25" spans="17:35" x14ac:dyDescent="0.25">
      <c r="Q25" s="15" t="s">
        <v>94</v>
      </c>
      <c r="R25" s="16">
        <f>GETPIVOTDATA("[Measures].[Overtime Rate]",$Q$1)</f>
        <v>0.28243243243243243</v>
      </c>
      <c r="AE25" s="11">
        <v>41</v>
      </c>
      <c r="AF25" s="18">
        <v>40</v>
      </c>
      <c r="AH25" s="11">
        <v>41</v>
      </c>
      <c r="AI25" s="9">
        <v>0.15</v>
      </c>
    </row>
    <row r="26" spans="17:35" x14ac:dyDescent="0.25">
      <c r="AE26" s="11">
        <v>42</v>
      </c>
      <c r="AF26" s="18">
        <v>46</v>
      </c>
      <c r="AH26" s="11">
        <v>42</v>
      </c>
      <c r="AI26" s="9">
        <v>4.3478260869565216E-2</v>
      </c>
    </row>
    <row r="27" spans="17:35" x14ac:dyDescent="0.25">
      <c r="AE27" s="11">
        <v>43</v>
      </c>
      <c r="AF27" s="18">
        <v>32</v>
      </c>
      <c r="AH27" s="11">
        <v>43</v>
      </c>
      <c r="AI27" s="9">
        <v>6.25E-2</v>
      </c>
    </row>
    <row r="28" spans="17:35" x14ac:dyDescent="0.25">
      <c r="AE28" s="11">
        <v>44</v>
      </c>
      <c r="AF28" s="18">
        <v>33</v>
      </c>
      <c r="AH28" s="11">
        <v>44</v>
      </c>
      <c r="AI28" s="9">
        <v>0.18181818181818182</v>
      </c>
    </row>
    <row r="29" spans="17:35" x14ac:dyDescent="0.25">
      <c r="AE29" s="11">
        <v>45</v>
      </c>
      <c r="AF29" s="18">
        <v>41</v>
      </c>
      <c r="AH29" s="11">
        <v>45</v>
      </c>
      <c r="AI29" s="9">
        <v>4.878048780487805E-2</v>
      </c>
    </row>
    <row r="30" spans="17:35" x14ac:dyDescent="0.25">
      <c r="AE30" s="11">
        <v>46</v>
      </c>
      <c r="AF30" s="18">
        <v>33</v>
      </c>
      <c r="AH30" s="11">
        <v>46</v>
      </c>
      <c r="AI30" s="9">
        <v>0.12121212121212122</v>
      </c>
    </row>
    <row r="31" spans="17:35" x14ac:dyDescent="0.25">
      <c r="AE31" s="11">
        <v>47</v>
      </c>
      <c r="AF31" s="18">
        <v>24</v>
      </c>
      <c r="AH31" s="11">
        <v>47</v>
      </c>
      <c r="AI31" s="9">
        <v>0.125</v>
      </c>
    </row>
    <row r="32" spans="17:35" x14ac:dyDescent="0.25">
      <c r="AE32" s="11">
        <v>48</v>
      </c>
      <c r="AF32" s="18">
        <v>19</v>
      </c>
      <c r="AH32" s="11">
        <v>48</v>
      </c>
      <c r="AI32" s="9">
        <v>0.10526315789473684</v>
      </c>
    </row>
    <row r="33" spans="31:35" x14ac:dyDescent="0.25">
      <c r="AE33" s="11">
        <v>49</v>
      </c>
      <c r="AF33" s="18">
        <v>25</v>
      </c>
      <c r="AH33" s="11">
        <v>49</v>
      </c>
      <c r="AI33" s="9">
        <v>0.08</v>
      </c>
    </row>
    <row r="34" spans="31:35" x14ac:dyDescent="0.25">
      <c r="AE34" s="11">
        <v>50</v>
      </c>
      <c r="AF34" s="18">
        <v>31</v>
      </c>
      <c r="AH34" s="11">
        <v>50</v>
      </c>
      <c r="AI34" s="9">
        <v>0.19354838709677419</v>
      </c>
    </row>
    <row r="35" spans="31:35" x14ac:dyDescent="0.25">
      <c r="AE35" s="11">
        <v>51</v>
      </c>
      <c r="AF35" s="18">
        <v>19</v>
      </c>
      <c r="AH35" s="11">
        <v>51</v>
      </c>
      <c r="AI35" s="9">
        <v>0.10526315789473684</v>
      </c>
    </row>
    <row r="36" spans="31:35" x14ac:dyDescent="0.25">
      <c r="AE36" s="11">
        <v>52</v>
      </c>
      <c r="AF36" s="18">
        <v>18</v>
      </c>
      <c r="AH36" s="11">
        <v>52</v>
      </c>
      <c r="AI36" s="9">
        <v>0.16666666666666666</v>
      </c>
    </row>
    <row r="37" spans="31:35" x14ac:dyDescent="0.25">
      <c r="AE37" s="11">
        <v>53</v>
      </c>
      <c r="AF37" s="18">
        <v>19</v>
      </c>
      <c r="AH37" s="11">
        <v>53</v>
      </c>
      <c r="AI37" s="9">
        <v>0.10526315789473684</v>
      </c>
    </row>
    <row r="38" spans="31:35" x14ac:dyDescent="0.25">
      <c r="AE38" s="11">
        <v>54</v>
      </c>
      <c r="AF38" s="18">
        <v>18</v>
      </c>
      <c r="AH38" s="11">
        <v>55</v>
      </c>
      <c r="AI38" s="9">
        <v>0.13636363636363635</v>
      </c>
    </row>
    <row r="39" spans="31:35" x14ac:dyDescent="0.25">
      <c r="AE39" s="11">
        <v>55</v>
      </c>
      <c r="AF39" s="18">
        <v>22</v>
      </c>
      <c r="AH39" s="11">
        <v>56</v>
      </c>
      <c r="AI39" s="9">
        <v>0.21428571428571427</v>
      </c>
    </row>
    <row r="40" spans="31:35" x14ac:dyDescent="0.25">
      <c r="AE40" s="11">
        <v>56</v>
      </c>
      <c r="AF40" s="18">
        <v>14</v>
      </c>
      <c r="AH40" s="11">
        <v>58</v>
      </c>
      <c r="AI40" s="9">
        <v>0.35714285714285715</v>
      </c>
    </row>
    <row r="41" spans="31:35" x14ac:dyDescent="0.25">
      <c r="AE41" s="11">
        <v>57</v>
      </c>
      <c r="AF41" s="18">
        <v>4</v>
      </c>
      <c r="AH41" s="11" t="s">
        <v>94</v>
      </c>
      <c r="AI41" s="9">
        <v>0.16081081081081081</v>
      </c>
    </row>
    <row r="42" spans="31:35" x14ac:dyDescent="0.25">
      <c r="AE42" s="11">
        <v>58</v>
      </c>
      <c r="AF42" s="18">
        <v>14</v>
      </c>
    </row>
    <row r="43" spans="31:35" x14ac:dyDescent="0.25">
      <c r="AE43" s="11">
        <v>59</v>
      </c>
      <c r="AF43" s="18">
        <v>10</v>
      </c>
    </row>
    <row r="44" spans="31:35" x14ac:dyDescent="0.25">
      <c r="AE44" s="11">
        <v>60</v>
      </c>
      <c r="AF44" s="18">
        <v>5</v>
      </c>
    </row>
    <row r="45" spans="31:35" x14ac:dyDescent="0.25">
      <c r="AE45" s="11" t="s">
        <v>94</v>
      </c>
      <c r="AF45" s="18">
        <v>1480</v>
      </c>
    </row>
  </sheetData>
  <pageMargins left="0.7" right="0.7" top="0.75" bottom="0.75" header="0.3" footer="0.3"/>
  <drawing r:id="rId24"/>
  <extLst>
    <ext xmlns:x14="http://schemas.microsoft.com/office/spreadsheetml/2009/9/main" uri="{A8765BA9-456A-4dab-B4F3-ACF838C121DE}">
      <x14:slicerList>
        <x14:slicer r:id="rId25"/>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0FB62D-03FB-43EB-813A-C0EAC380B4B7}">
  <sheetPr codeName="Sheet7"/>
  <dimension ref="A1"/>
  <sheetViews>
    <sheetView showGridLines="0" tabSelected="1" zoomScale="68" workbookViewId="0"/>
  </sheetViews>
  <sheetFormatPr defaultRowHeight="13.8" x14ac:dyDescent="0.25"/>
  <cols>
    <col min="1" max="16384" width="8.796875" style="4"/>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308A5-0F48-4F7E-BC6C-286754E8F8F9}">
  <sheetPr codeName="Sheet5"/>
  <dimension ref="A1"/>
  <sheetViews>
    <sheetView showGridLines="0" zoomScale="69" zoomScaleNormal="100" workbookViewId="0"/>
  </sheetViews>
  <sheetFormatPr defaultRowHeight="13.8" x14ac:dyDescent="0.25"/>
  <cols>
    <col min="1" max="16384" width="8.796875" style="4"/>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CDC0-7766-4D4B-8456-FEEF810B30A1}">
  <sheetPr codeName="Sheet6"/>
  <dimension ref="A1"/>
  <sheetViews>
    <sheetView showGridLines="0" zoomScale="58" workbookViewId="0"/>
  </sheetViews>
  <sheetFormatPr defaultRowHeight="13.8" x14ac:dyDescent="0.25"/>
  <cols>
    <col min="1" max="16384" width="8.796875" style="4"/>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F930E66-4175-4578-A05E-A643FD4085D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Meta-Data</vt:lpstr>
      <vt:lpstr>Wirefrming</vt:lpstr>
      <vt:lpstr>Pivot Table</vt:lpstr>
      <vt:lpstr>Overview</vt:lpstr>
      <vt:lpstr>Department</vt:lpstr>
      <vt:lpstr>Employee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Mohamed</dc:creator>
  <cp:lastModifiedBy>Sarah Mohammed Rashwan Mohammed</cp:lastModifiedBy>
  <dcterms:created xsi:type="dcterms:W3CDTF">2026-09-17T15:07:24Z</dcterms:created>
  <dcterms:modified xsi:type="dcterms:W3CDTF">2026-10-28T17:02:26Z</dcterms:modified>
</cp:coreProperties>
</file>